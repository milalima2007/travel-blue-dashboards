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harts/chart1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ravelblue-my.sharepoint.com/personal/martina_travel-blue_com/Documents/CLOE/NEW DEVELOPMENTS 2025-2026/"/>
    </mc:Choice>
  </mc:AlternateContent>
  <xr:revisionPtr revIDLastSave="42" documentId="13_ncr:1_{3F7C1CD7-B564-436F-99CF-763B653254C1}" xr6:coauthVersionLast="47" xr6:coauthVersionMax="47" xr10:uidLastSave="{481C22C1-C280-4D5C-B3D4-2F96C4211F04}"/>
  <bookViews>
    <workbookView xWindow="-110" yWindow="-110" windowWidth="19420" windowHeight="10300" tabRatio="500" xr2:uid="{00000000-000D-0000-FFFF-FFFF00000000}"/>
  </bookViews>
  <sheets>
    <sheet name="6TRAO26787NEG" sheetId="1" r:id="rId1"/>
    <sheet name="6TRAO26787BEI" sheetId="2" r:id="rId2"/>
    <sheet name="6TRAO26788NEG" sheetId="3" r:id="rId3"/>
    <sheet name="6TRAO26789NEG" sheetId="4" r:id="rId4"/>
    <sheet name="6TRAO26790BEIGE" sheetId="5" r:id="rId5"/>
    <sheet name="6TRAO26791NEG" sheetId="6" r:id="rId6"/>
    <sheet name="6TRAO26792NEG" sheetId="7" r:id="rId7"/>
    <sheet name="6TRAI26793NEG" sheetId="8" r:id="rId8"/>
    <sheet name="6TRAI26794ROJ" sheetId="9" r:id="rId9"/>
    <sheet name="6TRAI26795MUL" sheetId="10" r:id="rId10"/>
    <sheet name="6TRAI26796NEG" sheetId="11" r:id="rId11"/>
    <sheet name="6TRAI26797VER" sheetId="12" r:id="rId12"/>
    <sheet name="6TRAI26798ROJ" sheetId="13" r:id="rId13"/>
    <sheet name="6TRAI26799NEG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" i="1" l="1"/>
  <c r="L20" i="14" l="1"/>
  <c r="K20" i="14"/>
  <c r="BA35" i="14" s="1"/>
  <c r="K19" i="14"/>
  <c r="K18" i="14"/>
  <c r="BA31" i="14" s="1"/>
  <c r="K17" i="14"/>
  <c r="BA29" i="14" s="1"/>
  <c r="K16" i="14"/>
  <c r="BA27" i="14" s="1"/>
  <c r="L15" i="14"/>
  <c r="K15" i="14"/>
  <c r="BA25" i="14" s="1"/>
  <c r="L14" i="14"/>
  <c r="K14" i="14"/>
  <c r="K13" i="14"/>
  <c r="BA21" i="14" s="1"/>
  <c r="K12" i="14"/>
  <c r="BA19" i="14" s="1"/>
  <c r="K11" i="14"/>
  <c r="K10" i="14"/>
  <c r="K9" i="14"/>
  <c r="L8" i="14"/>
  <c r="K8" i="14"/>
  <c r="K7" i="14"/>
  <c r="K6" i="14"/>
  <c r="J4" i="14"/>
  <c r="L20" i="13"/>
  <c r="K20" i="13"/>
  <c r="K19" i="13"/>
  <c r="BA33" i="13" s="1"/>
  <c r="K18" i="13"/>
  <c r="BA31" i="13" s="1"/>
  <c r="K17" i="13"/>
  <c r="BA29" i="13" s="1"/>
  <c r="K16" i="13"/>
  <c r="L15" i="13"/>
  <c r="K15" i="13"/>
  <c r="L14" i="13"/>
  <c r="K14" i="13"/>
  <c r="K13" i="13"/>
  <c r="BA21" i="13" s="1"/>
  <c r="K12" i="13"/>
  <c r="K11" i="13"/>
  <c r="BA17" i="13" s="1"/>
  <c r="K10" i="13"/>
  <c r="K9" i="13"/>
  <c r="L8" i="13"/>
  <c r="K8" i="13"/>
  <c r="K7" i="13"/>
  <c r="L6" i="13"/>
  <c r="K6" i="13"/>
  <c r="J4" i="13"/>
  <c r="L20" i="12"/>
  <c r="K20" i="12"/>
  <c r="K19" i="12"/>
  <c r="K18" i="12"/>
  <c r="K17" i="12"/>
  <c r="K16" i="12"/>
  <c r="L15" i="12"/>
  <c r="K15" i="12"/>
  <c r="BA25" i="12" s="1"/>
  <c r="L14" i="12"/>
  <c r="K14" i="12"/>
  <c r="BA23" i="12" s="1"/>
  <c r="K13" i="12"/>
  <c r="K12" i="12"/>
  <c r="BA19" i="12" s="1"/>
  <c r="K11" i="12"/>
  <c r="BA17" i="12" s="1"/>
  <c r="K10" i="12"/>
  <c r="K9" i="12"/>
  <c r="L8" i="12"/>
  <c r="K8" i="12"/>
  <c r="BA11" i="12" s="1"/>
  <c r="K7" i="12"/>
  <c r="BA9" i="12" s="1"/>
  <c r="K6" i="12"/>
  <c r="J4" i="12"/>
  <c r="L20" i="11"/>
  <c r="K20" i="11"/>
  <c r="BA35" i="11" s="1"/>
  <c r="K19" i="11"/>
  <c r="BA33" i="11" s="1"/>
  <c r="K18" i="11"/>
  <c r="BA31" i="11" s="1"/>
  <c r="K17" i="11"/>
  <c r="BA29" i="11" s="1"/>
  <c r="K16" i="11"/>
  <c r="L15" i="11"/>
  <c r="K15" i="11"/>
  <c r="BA25" i="11" s="1"/>
  <c r="L14" i="11"/>
  <c r="K14" i="11"/>
  <c r="BA23" i="11" s="1"/>
  <c r="K13" i="11"/>
  <c r="K12" i="11"/>
  <c r="BA19" i="11" s="1"/>
  <c r="K11" i="11"/>
  <c r="K10" i="11"/>
  <c r="K9" i="11"/>
  <c r="L8" i="11"/>
  <c r="K8" i="11"/>
  <c r="BA11" i="11" s="1"/>
  <c r="K7" i="11"/>
  <c r="BA9" i="11" s="1"/>
  <c r="L6" i="11"/>
  <c r="K6" i="11"/>
  <c r="J4" i="11"/>
  <c r="L20" i="10"/>
  <c r="K20" i="10"/>
  <c r="BA35" i="10" s="1"/>
  <c r="K19" i="10"/>
  <c r="BA33" i="10" s="1"/>
  <c r="K18" i="10"/>
  <c r="K17" i="10"/>
  <c r="K16" i="10"/>
  <c r="BA27" i="10" s="1"/>
  <c r="L15" i="10"/>
  <c r="K15" i="10"/>
  <c r="BA25" i="10" s="1"/>
  <c r="L14" i="10"/>
  <c r="K14" i="10"/>
  <c r="K13" i="10"/>
  <c r="K12" i="10"/>
  <c r="K11" i="10"/>
  <c r="K10" i="10"/>
  <c r="BA15" i="10" s="1"/>
  <c r="K9" i="10"/>
  <c r="BA13" i="10" s="1"/>
  <c r="L8" i="10"/>
  <c r="K8" i="10"/>
  <c r="K7" i="10"/>
  <c r="K6" i="10"/>
  <c r="J4" i="10"/>
  <c r="L20" i="9"/>
  <c r="K20" i="9"/>
  <c r="BA35" i="9" s="1"/>
  <c r="K19" i="9"/>
  <c r="BA33" i="9" s="1"/>
  <c r="K18" i="9"/>
  <c r="K17" i="9"/>
  <c r="K16" i="9"/>
  <c r="BA27" i="9" s="1"/>
  <c r="L15" i="9"/>
  <c r="K15" i="9"/>
  <c r="L14" i="9"/>
  <c r="K14" i="9"/>
  <c r="K13" i="9"/>
  <c r="BA21" i="9" s="1"/>
  <c r="K12" i="9"/>
  <c r="BA19" i="9" s="1"/>
  <c r="K11" i="9"/>
  <c r="K10" i="9"/>
  <c r="K9" i="9"/>
  <c r="L8" i="9"/>
  <c r="K8" i="9"/>
  <c r="K7" i="9"/>
  <c r="K6" i="9"/>
  <c r="J4" i="9"/>
  <c r="L20" i="8"/>
  <c r="K20" i="8"/>
  <c r="BA35" i="8" s="1"/>
  <c r="K19" i="8"/>
  <c r="BA33" i="8" s="1"/>
  <c r="K18" i="8"/>
  <c r="BA31" i="8" s="1"/>
  <c r="K17" i="8"/>
  <c r="BA29" i="8" s="1"/>
  <c r="K16" i="8"/>
  <c r="BA27" i="8" s="1"/>
  <c r="L15" i="8"/>
  <c r="K15" i="8"/>
  <c r="L14" i="8"/>
  <c r="K14" i="8"/>
  <c r="BA23" i="8" s="1"/>
  <c r="K13" i="8"/>
  <c r="BA21" i="8" s="1"/>
  <c r="K12" i="8"/>
  <c r="K11" i="8"/>
  <c r="BA17" i="8" s="1"/>
  <c r="K10" i="8"/>
  <c r="BA15" i="8" s="1"/>
  <c r="K9" i="8"/>
  <c r="L8" i="8"/>
  <c r="K8" i="8"/>
  <c r="BA11" i="8" s="1"/>
  <c r="K7" i="8"/>
  <c r="BA9" i="8" s="1"/>
  <c r="K6" i="8"/>
  <c r="BA7" i="8" s="1"/>
  <c r="J4" i="8"/>
  <c r="L20" i="7"/>
  <c r="K20" i="7"/>
  <c r="BA35" i="7" s="1"/>
  <c r="K19" i="7"/>
  <c r="BA33" i="7" s="1"/>
  <c r="K18" i="7"/>
  <c r="BA31" i="7" s="1"/>
  <c r="K17" i="7"/>
  <c r="BA29" i="7" s="1"/>
  <c r="K16" i="7"/>
  <c r="L15" i="7"/>
  <c r="K15" i="7"/>
  <c r="BA25" i="7" s="1"/>
  <c r="L14" i="7"/>
  <c r="K14" i="7"/>
  <c r="BA23" i="7" s="1"/>
  <c r="K13" i="7"/>
  <c r="K12" i="7"/>
  <c r="BA19" i="7" s="1"/>
  <c r="K11" i="7"/>
  <c r="K10" i="7"/>
  <c r="K9" i="7"/>
  <c r="BA13" i="7" s="1"/>
  <c r="L8" i="7"/>
  <c r="K8" i="7"/>
  <c r="BA11" i="7" s="1"/>
  <c r="K7" i="7"/>
  <c r="K6" i="7"/>
  <c r="J4" i="7"/>
  <c r="L20" i="6"/>
  <c r="K20" i="6"/>
  <c r="BA35" i="6" s="1"/>
  <c r="K19" i="6"/>
  <c r="BA33" i="6" s="1"/>
  <c r="K18" i="6"/>
  <c r="BA31" i="6" s="1"/>
  <c r="K17" i="6"/>
  <c r="BA29" i="6" s="1"/>
  <c r="K16" i="6"/>
  <c r="BA27" i="6" s="1"/>
  <c r="L15" i="6"/>
  <c r="K15" i="6"/>
  <c r="BA25" i="6" s="1"/>
  <c r="L14" i="6"/>
  <c r="K14" i="6"/>
  <c r="K13" i="6"/>
  <c r="BA21" i="6" s="1"/>
  <c r="K12" i="6"/>
  <c r="BA19" i="6" s="1"/>
  <c r="K11" i="6"/>
  <c r="K10" i="6"/>
  <c r="K9" i="6"/>
  <c r="BA13" i="6" s="1"/>
  <c r="L8" i="6"/>
  <c r="K8" i="6"/>
  <c r="K7" i="6"/>
  <c r="BA9" i="6" s="1"/>
  <c r="K6" i="6"/>
  <c r="BA7" i="6" s="1"/>
  <c r="J4" i="6"/>
  <c r="L20" i="5"/>
  <c r="K20" i="5"/>
  <c r="BA35" i="5" s="1"/>
  <c r="K19" i="5"/>
  <c r="BA33" i="5" s="1"/>
  <c r="K18" i="5"/>
  <c r="K17" i="5"/>
  <c r="BA29" i="5" s="1"/>
  <c r="K16" i="5"/>
  <c r="BA27" i="5" s="1"/>
  <c r="L15" i="5"/>
  <c r="K15" i="5"/>
  <c r="BA25" i="5" s="1"/>
  <c r="L14" i="5"/>
  <c r="K14" i="5"/>
  <c r="K13" i="5"/>
  <c r="BA21" i="5" s="1"/>
  <c r="K12" i="5"/>
  <c r="BA19" i="5" s="1"/>
  <c r="K11" i="5"/>
  <c r="BA17" i="5" s="1"/>
  <c r="K10" i="5"/>
  <c r="BA15" i="5" s="1"/>
  <c r="K9" i="5"/>
  <c r="BA13" i="5" s="1"/>
  <c r="L8" i="5"/>
  <c r="K8" i="5"/>
  <c r="K7" i="5"/>
  <c r="K6" i="5"/>
  <c r="J4" i="5"/>
  <c r="K20" i="4"/>
  <c r="BA35" i="4" s="1"/>
  <c r="K19" i="4"/>
  <c r="K18" i="4"/>
  <c r="BA31" i="4" s="1"/>
  <c r="K17" i="4"/>
  <c r="K16" i="4"/>
  <c r="L15" i="4"/>
  <c r="K15" i="4"/>
  <c r="BA25" i="4" s="1"/>
  <c r="L14" i="4"/>
  <c r="K14" i="4"/>
  <c r="BA23" i="4" s="1"/>
  <c r="K13" i="4"/>
  <c r="BA21" i="4" s="1"/>
  <c r="K12" i="4"/>
  <c r="BA19" i="4" s="1"/>
  <c r="K11" i="4"/>
  <c r="BA17" i="4" s="1"/>
  <c r="K10" i="4"/>
  <c r="K9" i="4"/>
  <c r="K8" i="4"/>
  <c r="BA11" i="4" s="1"/>
  <c r="K7" i="4"/>
  <c r="BA9" i="4" s="1"/>
  <c r="K6" i="4"/>
  <c r="BA7" i="4" s="1"/>
  <c r="J4" i="4"/>
  <c r="K20" i="3"/>
  <c r="BA35" i="3" s="1"/>
  <c r="K19" i="3"/>
  <c r="BA33" i="3" s="1"/>
  <c r="K18" i="3"/>
  <c r="BA31" i="3" s="1"/>
  <c r="K17" i="3"/>
  <c r="BA29" i="3" s="1"/>
  <c r="K16" i="3"/>
  <c r="L15" i="3"/>
  <c r="K15" i="3"/>
  <c r="BA25" i="3" s="1"/>
  <c r="L14" i="3"/>
  <c r="K14" i="3"/>
  <c r="BA23" i="3" s="1"/>
  <c r="K13" i="3"/>
  <c r="BA21" i="3" s="1"/>
  <c r="K12" i="3"/>
  <c r="BA19" i="3" s="1"/>
  <c r="K11" i="3"/>
  <c r="K10" i="3"/>
  <c r="K9" i="3"/>
  <c r="K8" i="3"/>
  <c r="K7" i="3"/>
  <c r="K6" i="3"/>
  <c r="J4" i="3"/>
  <c r="K20" i="2"/>
  <c r="BA35" i="2" s="1"/>
  <c r="K19" i="2"/>
  <c r="BA33" i="2" s="1"/>
  <c r="K18" i="2"/>
  <c r="K17" i="2"/>
  <c r="BA29" i="2" s="1"/>
  <c r="K16" i="2"/>
  <c r="BA27" i="2" s="1"/>
  <c r="L15" i="2"/>
  <c r="K15" i="2"/>
  <c r="BA25" i="2" s="1"/>
  <c r="L14" i="2"/>
  <c r="K14" i="2"/>
  <c r="BA23" i="2" s="1"/>
  <c r="K13" i="2"/>
  <c r="BA21" i="2" s="1"/>
  <c r="K12" i="2"/>
  <c r="BA19" i="2" s="1"/>
  <c r="K11" i="2"/>
  <c r="BA17" i="2" s="1"/>
  <c r="K10" i="2"/>
  <c r="BA15" i="2" s="1"/>
  <c r="K9" i="2"/>
  <c r="BA13" i="2" s="1"/>
  <c r="K8" i="2"/>
  <c r="K7" i="2"/>
  <c r="BA9" i="2" s="1"/>
  <c r="K6" i="2"/>
  <c r="J4" i="2"/>
  <c r="AX35" i="14"/>
  <c r="AZ34" i="14"/>
  <c r="AX34" i="14"/>
  <c r="AX33" i="14"/>
  <c r="AZ32" i="14"/>
  <c r="AX32" i="14"/>
  <c r="AX31" i="14"/>
  <c r="AZ30" i="14"/>
  <c r="AX30" i="14"/>
  <c r="AX29" i="14"/>
  <c r="AZ28" i="14"/>
  <c r="AX28" i="14"/>
  <c r="AX27" i="14"/>
  <c r="AZ26" i="14"/>
  <c r="AX26" i="14"/>
  <c r="AX25" i="14"/>
  <c r="AZ24" i="14"/>
  <c r="AX24" i="14"/>
  <c r="AX23" i="14"/>
  <c r="AZ22" i="14"/>
  <c r="AX22" i="14"/>
  <c r="AX21" i="14"/>
  <c r="AZ20" i="14"/>
  <c r="AX20" i="14"/>
  <c r="AX19" i="14"/>
  <c r="BA33" i="14"/>
  <c r="AZ18" i="14"/>
  <c r="AX18" i="14"/>
  <c r="AX17" i="14"/>
  <c r="AZ16" i="14"/>
  <c r="AX16" i="14"/>
  <c r="AX15" i="14"/>
  <c r="AZ14" i="14"/>
  <c r="AX14" i="14"/>
  <c r="BA23" i="14"/>
  <c r="BA13" i="14"/>
  <c r="AX13" i="14"/>
  <c r="AZ12" i="14"/>
  <c r="AX12" i="14"/>
  <c r="BA11" i="14"/>
  <c r="AX11" i="14"/>
  <c r="BA17" i="14"/>
  <c r="AZ10" i="14"/>
  <c r="AX10" i="14"/>
  <c r="BA15" i="14"/>
  <c r="AX9" i="14"/>
  <c r="AZ8" i="14"/>
  <c r="AX8" i="14"/>
  <c r="BA7" i="14"/>
  <c r="AX7" i="14"/>
  <c r="BA9" i="14"/>
  <c r="AZ6" i="14"/>
  <c r="AX6" i="14"/>
  <c r="G6" i="14"/>
  <c r="F7" i="14" s="1"/>
  <c r="F6" i="14"/>
  <c r="AY6" i="14" s="1"/>
  <c r="AX35" i="13"/>
  <c r="AZ34" i="13"/>
  <c r="AX34" i="13"/>
  <c r="AX33" i="13"/>
  <c r="AZ32" i="13"/>
  <c r="AX32" i="13"/>
  <c r="AX31" i="13"/>
  <c r="AZ30" i="13"/>
  <c r="AX30" i="13"/>
  <c r="AX29" i="13"/>
  <c r="AZ28" i="13"/>
  <c r="AX28" i="13"/>
  <c r="BA27" i="13"/>
  <c r="AX27" i="13"/>
  <c r="AZ26" i="13"/>
  <c r="AX26" i="13"/>
  <c r="AX25" i="13"/>
  <c r="AZ24" i="13"/>
  <c r="AX24" i="13"/>
  <c r="BA23" i="13"/>
  <c r="AX23" i="13"/>
  <c r="AZ22" i="13"/>
  <c r="AX22" i="13"/>
  <c r="AX21" i="13"/>
  <c r="AZ20" i="13"/>
  <c r="AX20" i="13"/>
  <c r="BA35" i="13"/>
  <c r="AX19" i="13"/>
  <c r="AZ18" i="13"/>
  <c r="AX18" i="13"/>
  <c r="AX17" i="13"/>
  <c r="AZ16" i="13"/>
  <c r="AX16" i="13"/>
  <c r="BA15" i="13"/>
  <c r="AX15" i="13"/>
  <c r="BA25" i="13"/>
  <c r="AZ14" i="13"/>
  <c r="AX14" i="13"/>
  <c r="BA13" i="13"/>
  <c r="AX13" i="13"/>
  <c r="AZ12" i="13"/>
  <c r="AX12" i="13"/>
  <c r="BA19" i="13"/>
  <c r="AX11" i="13"/>
  <c r="AZ10" i="13"/>
  <c r="AX10" i="13"/>
  <c r="BA9" i="13"/>
  <c r="AX9" i="13"/>
  <c r="AZ8" i="13"/>
  <c r="AX8" i="13"/>
  <c r="BA11" i="13"/>
  <c r="BA7" i="13"/>
  <c r="AX7" i="13"/>
  <c r="AZ6" i="13"/>
  <c r="AX6" i="13"/>
  <c r="F6" i="13"/>
  <c r="G6" i="13" s="1"/>
  <c r="F7" i="13" s="1"/>
  <c r="AX35" i="12"/>
  <c r="AZ34" i="12"/>
  <c r="AX34" i="12"/>
  <c r="BA33" i="12"/>
  <c r="AX33" i="12"/>
  <c r="AZ32" i="12"/>
  <c r="AX32" i="12"/>
  <c r="AX31" i="12"/>
  <c r="AZ30" i="12"/>
  <c r="AX30" i="12"/>
  <c r="BA29" i="12"/>
  <c r="AX29" i="12"/>
  <c r="AZ28" i="12"/>
  <c r="AX28" i="12"/>
  <c r="AX27" i="12"/>
  <c r="AZ26" i="12"/>
  <c r="AX26" i="12"/>
  <c r="AX25" i="12"/>
  <c r="AZ24" i="12"/>
  <c r="AX24" i="12"/>
  <c r="AX23" i="12"/>
  <c r="AZ22" i="12"/>
  <c r="AX22" i="12"/>
  <c r="BA21" i="12"/>
  <c r="AX21" i="12"/>
  <c r="AZ20" i="12"/>
  <c r="AX20" i="12"/>
  <c r="BA35" i="12"/>
  <c r="AX19" i="12"/>
  <c r="AZ18" i="12"/>
  <c r="AX18" i="12"/>
  <c r="BA31" i="12"/>
  <c r="AX17" i="12"/>
  <c r="AZ16" i="12"/>
  <c r="AX16" i="12"/>
  <c r="BA27" i="12"/>
  <c r="BA15" i="12"/>
  <c r="AX15" i="12"/>
  <c r="AZ14" i="12"/>
  <c r="AX14" i="12"/>
  <c r="AX13" i="12"/>
  <c r="AZ12" i="12"/>
  <c r="AX12" i="12"/>
  <c r="AX11" i="12"/>
  <c r="AZ10" i="12"/>
  <c r="AX10" i="12"/>
  <c r="AX9" i="12"/>
  <c r="BA13" i="12"/>
  <c r="AZ8" i="12"/>
  <c r="AX8" i="12"/>
  <c r="BA7" i="12"/>
  <c r="AX7" i="12"/>
  <c r="F7" i="12"/>
  <c r="AY9" i="12" s="1"/>
  <c r="AZ6" i="12"/>
  <c r="AX6" i="12"/>
  <c r="F6" i="12"/>
  <c r="G6" i="12" s="1"/>
  <c r="L6" i="12" s="1"/>
  <c r="AX35" i="11"/>
  <c r="AZ34" i="11"/>
  <c r="AX34" i="11"/>
  <c r="AX33" i="11"/>
  <c r="AZ32" i="11"/>
  <c r="AX32" i="11"/>
  <c r="AX31" i="11"/>
  <c r="AZ30" i="11"/>
  <c r="AX30" i="11"/>
  <c r="AX29" i="11"/>
  <c r="AZ28" i="11"/>
  <c r="AX28" i="11"/>
  <c r="AX27" i="11"/>
  <c r="AZ26" i="11"/>
  <c r="AX26" i="11"/>
  <c r="AX25" i="11"/>
  <c r="AZ24" i="11"/>
  <c r="AX24" i="11"/>
  <c r="AX23" i="11"/>
  <c r="AZ22" i="11"/>
  <c r="AX22" i="11"/>
  <c r="BA21" i="11"/>
  <c r="AX21" i="11"/>
  <c r="AZ20" i="11"/>
  <c r="AX20" i="11"/>
  <c r="AX19" i="11"/>
  <c r="AZ18" i="11"/>
  <c r="AX18" i="11"/>
  <c r="BA17" i="11"/>
  <c r="AX17" i="11"/>
  <c r="AZ16" i="11"/>
  <c r="AX16" i="11"/>
  <c r="BA27" i="11"/>
  <c r="AX15" i="11"/>
  <c r="AZ14" i="11"/>
  <c r="AX14" i="11"/>
  <c r="BA13" i="11"/>
  <c r="AX13" i="11"/>
  <c r="AZ12" i="11"/>
  <c r="AX12" i="11"/>
  <c r="AX11" i="11"/>
  <c r="AZ10" i="11"/>
  <c r="AX10" i="11"/>
  <c r="BA15" i="11"/>
  <c r="AX9" i="11"/>
  <c r="AZ8" i="11"/>
  <c r="AX8" i="11"/>
  <c r="AX7" i="11"/>
  <c r="F7" i="11"/>
  <c r="G7" i="11" s="1"/>
  <c r="L7" i="11" s="1"/>
  <c r="AZ6" i="11"/>
  <c r="AY6" i="11"/>
  <c r="AX6" i="11"/>
  <c r="BA7" i="11"/>
  <c r="F6" i="11"/>
  <c r="G6" i="11" s="1"/>
  <c r="AX35" i="10"/>
  <c r="AZ34" i="10"/>
  <c r="AX34" i="10"/>
  <c r="AX33" i="10"/>
  <c r="AZ32" i="10"/>
  <c r="AX32" i="10"/>
  <c r="AX31" i="10"/>
  <c r="AZ30" i="10"/>
  <c r="AX30" i="10"/>
  <c r="BA29" i="10"/>
  <c r="AX29" i="10"/>
  <c r="AZ28" i="10"/>
  <c r="AX28" i="10"/>
  <c r="AX27" i="10"/>
  <c r="AZ26" i="10"/>
  <c r="AX26" i="10"/>
  <c r="AX25" i="10"/>
  <c r="AZ24" i="10"/>
  <c r="AX24" i="10"/>
  <c r="AX23" i="10"/>
  <c r="AZ22" i="10"/>
  <c r="AX22" i="10"/>
  <c r="BA21" i="10"/>
  <c r="AX21" i="10"/>
  <c r="AZ20" i="10"/>
  <c r="AX20" i="10"/>
  <c r="BA19" i="10"/>
  <c r="AX19" i="10"/>
  <c r="AZ18" i="10"/>
  <c r="AX18" i="10"/>
  <c r="BA31" i="10"/>
  <c r="BA17" i="10"/>
  <c r="AX17" i="10"/>
  <c r="AZ16" i="10"/>
  <c r="AX16" i="10"/>
  <c r="AX15" i="10"/>
  <c r="AZ14" i="10"/>
  <c r="AX14" i="10"/>
  <c r="BA23" i="10"/>
  <c r="AX13" i="10"/>
  <c r="AZ12" i="10"/>
  <c r="AX12" i="10"/>
  <c r="BA11" i="10"/>
  <c r="AX11" i="10"/>
  <c r="AZ10" i="10"/>
  <c r="AX10" i="10"/>
  <c r="AX9" i="10"/>
  <c r="AZ8" i="10"/>
  <c r="AX8" i="10"/>
  <c r="BA7" i="10"/>
  <c r="AX7" i="10"/>
  <c r="BA9" i="10"/>
  <c r="F7" i="10"/>
  <c r="AZ6" i="10"/>
  <c r="AX6" i="10"/>
  <c r="F6" i="10"/>
  <c r="G6" i="10" s="1"/>
  <c r="L6" i="10" s="1"/>
  <c r="AX35" i="9"/>
  <c r="AZ34" i="9"/>
  <c r="AX34" i="9"/>
  <c r="AX33" i="9"/>
  <c r="AZ32" i="9"/>
  <c r="AX32" i="9"/>
  <c r="AX31" i="9"/>
  <c r="AZ30" i="9"/>
  <c r="AX30" i="9"/>
  <c r="BA29" i="9"/>
  <c r="AX29" i="9"/>
  <c r="AZ28" i="9"/>
  <c r="AX28" i="9"/>
  <c r="AX27" i="9"/>
  <c r="AZ26" i="9"/>
  <c r="AX26" i="9"/>
  <c r="BA25" i="9"/>
  <c r="AX25" i="9"/>
  <c r="AZ24" i="9"/>
  <c r="AX24" i="9"/>
  <c r="AX23" i="9"/>
  <c r="AZ22" i="9"/>
  <c r="AX22" i="9"/>
  <c r="AX21" i="9"/>
  <c r="AZ20" i="9"/>
  <c r="AX20" i="9"/>
  <c r="AX19" i="9"/>
  <c r="AZ18" i="9"/>
  <c r="AX18" i="9"/>
  <c r="BA31" i="9"/>
  <c r="AX17" i="9"/>
  <c r="AZ16" i="9"/>
  <c r="AX16" i="9"/>
  <c r="BA15" i="9"/>
  <c r="AX15" i="9"/>
  <c r="AZ14" i="9"/>
  <c r="AX14" i="9"/>
  <c r="BA23" i="9"/>
  <c r="AX13" i="9"/>
  <c r="AZ12" i="9"/>
  <c r="AX12" i="9"/>
  <c r="AX11" i="9"/>
  <c r="BA17" i="9"/>
  <c r="AZ10" i="9"/>
  <c r="AX10" i="9"/>
  <c r="AX9" i="9"/>
  <c r="BA13" i="9"/>
  <c r="AZ8" i="9"/>
  <c r="AX8" i="9"/>
  <c r="BA11" i="9"/>
  <c r="AX7" i="9"/>
  <c r="BA9" i="9"/>
  <c r="AZ6" i="9"/>
  <c r="AX6" i="9"/>
  <c r="BA7" i="9"/>
  <c r="F6" i="9"/>
  <c r="AY7" i="9" s="1"/>
  <c r="AX35" i="8"/>
  <c r="AZ34" i="8"/>
  <c r="AX34" i="8"/>
  <c r="AX33" i="8"/>
  <c r="AZ32" i="8"/>
  <c r="AX32" i="8"/>
  <c r="AX31" i="8"/>
  <c r="AZ30" i="8"/>
  <c r="AX30" i="8"/>
  <c r="AX29" i="8"/>
  <c r="AZ28" i="8"/>
  <c r="AX28" i="8"/>
  <c r="AX27" i="8"/>
  <c r="AZ26" i="8"/>
  <c r="AX26" i="8"/>
  <c r="BA25" i="8"/>
  <c r="AX25" i="8"/>
  <c r="AZ24" i="8"/>
  <c r="AX24" i="8"/>
  <c r="AX23" i="8"/>
  <c r="AZ22" i="8"/>
  <c r="AX22" i="8"/>
  <c r="AX21" i="8"/>
  <c r="AZ20" i="8"/>
  <c r="AX20" i="8"/>
  <c r="BA19" i="8"/>
  <c r="AX19" i="8"/>
  <c r="AZ18" i="8"/>
  <c r="AX18" i="8"/>
  <c r="AX17" i="8"/>
  <c r="AZ16" i="8"/>
  <c r="AX16" i="8"/>
  <c r="AX15" i="8"/>
  <c r="AZ14" i="8"/>
  <c r="AX14" i="8"/>
  <c r="AX13" i="8"/>
  <c r="AZ12" i="8"/>
  <c r="AX12" i="8"/>
  <c r="AX11" i="8"/>
  <c r="AZ10" i="8"/>
  <c r="AX10" i="8"/>
  <c r="AX9" i="8"/>
  <c r="BA13" i="8"/>
  <c r="AZ8" i="8"/>
  <c r="AX8" i="8"/>
  <c r="AX7" i="8"/>
  <c r="AZ6" i="8"/>
  <c r="AX6" i="8"/>
  <c r="F6" i="8"/>
  <c r="AY7" i="8" s="1"/>
  <c r="AX35" i="7"/>
  <c r="AZ34" i="7"/>
  <c r="AX34" i="7"/>
  <c r="AX33" i="7"/>
  <c r="AZ32" i="7"/>
  <c r="AX32" i="7"/>
  <c r="AX31" i="7"/>
  <c r="AZ30" i="7"/>
  <c r="AX30" i="7"/>
  <c r="AX29" i="7"/>
  <c r="AZ28" i="7"/>
  <c r="AX28" i="7"/>
  <c r="AX27" i="7"/>
  <c r="AZ26" i="7"/>
  <c r="AX26" i="7"/>
  <c r="AX25" i="7"/>
  <c r="AZ24" i="7"/>
  <c r="AX24" i="7"/>
  <c r="AX23" i="7"/>
  <c r="AZ22" i="7"/>
  <c r="AX22" i="7"/>
  <c r="AX21" i="7"/>
  <c r="AZ20" i="7"/>
  <c r="AX20" i="7"/>
  <c r="AX19" i="7"/>
  <c r="AZ18" i="7"/>
  <c r="AX18" i="7"/>
  <c r="BA17" i="7"/>
  <c r="AX17" i="7"/>
  <c r="AZ16" i="7"/>
  <c r="AX16" i="7"/>
  <c r="BA27" i="7"/>
  <c r="AX15" i="7"/>
  <c r="AZ14" i="7"/>
  <c r="AX14" i="7"/>
  <c r="AX13" i="7"/>
  <c r="BA21" i="7"/>
  <c r="AZ12" i="7"/>
  <c r="AX12" i="7"/>
  <c r="AX11" i="7"/>
  <c r="AZ10" i="7"/>
  <c r="AX10" i="7"/>
  <c r="BA15" i="7"/>
  <c r="AX9" i="7"/>
  <c r="AZ8" i="7"/>
  <c r="AX8" i="7"/>
  <c r="BA7" i="7"/>
  <c r="AX7" i="7"/>
  <c r="BA9" i="7"/>
  <c r="AZ6" i="7"/>
  <c r="AX6" i="7"/>
  <c r="F6" i="7"/>
  <c r="AY6" i="7" s="1"/>
  <c r="AX35" i="6"/>
  <c r="AZ34" i="6"/>
  <c r="AX34" i="6"/>
  <c r="AX33" i="6"/>
  <c r="AZ32" i="6"/>
  <c r="AX32" i="6"/>
  <c r="AX31" i="6"/>
  <c r="AZ30" i="6"/>
  <c r="AX30" i="6"/>
  <c r="AX29" i="6"/>
  <c r="AZ28" i="6"/>
  <c r="AX28" i="6"/>
  <c r="AX27" i="6"/>
  <c r="AZ26" i="6"/>
  <c r="AX26" i="6"/>
  <c r="AX25" i="6"/>
  <c r="AZ24" i="6"/>
  <c r="AX24" i="6"/>
  <c r="AX23" i="6"/>
  <c r="AZ22" i="6"/>
  <c r="AX22" i="6"/>
  <c r="AX21" i="6"/>
  <c r="AZ20" i="6"/>
  <c r="AX20" i="6"/>
  <c r="AX19" i="6"/>
  <c r="AZ18" i="6"/>
  <c r="AX18" i="6"/>
  <c r="AX17" i="6"/>
  <c r="AZ16" i="6"/>
  <c r="AX16" i="6"/>
  <c r="BA15" i="6"/>
  <c r="AX15" i="6"/>
  <c r="AZ14" i="6"/>
  <c r="AX14" i="6"/>
  <c r="BA23" i="6"/>
  <c r="AX13" i="6"/>
  <c r="AZ12" i="6"/>
  <c r="AX12" i="6"/>
  <c r="AX11" i="6"/>
  <c r="BA17" i="6"/>
  <c r="AZ10" i="6"/>
  <c r="AX10" i="6"/>
  <c r="AX9" i="6"/>
  <c r="AZ8" i="6"/>
  <c r="AX8" i="6"/>
  <c r="BA11" i="6"/>
  <c r="AX7" i="6"/>
  <c r="AZ6" i="6"/>
  <c r="AY6" i="6"/>
  <c r="AX6" i="6"/>
  <c r="F6" i="6"/>
  <c r="AY7" i="6" s="1"/>
  <c r="AX35" i="5"/>
  <c r="AZ34" i="5"/>
  <c r="AX34" i="5"/>
  <c r="AX33" i="5"/>
  <c r="AZ32" i="5"/>
  <c r="AX32" i="5"/>
  <c r="BA31" i="5"/>
  <c r="AX31" i="5"/>
  <c r="AZ30" i="5"/>
  <c r="AX30" i="5"/>
  <c r="AX29" i="5"/>
  <c r="AZ28" i="5"/>
  <c r="AX28" i="5"/>
  <c r="AX27" i="5"/>
  <c r="AZ26" i="5"/>
  <c r="AX26" i="5"/>
  <c r="AX25" i="5"/>
  <c r="AZ24" i="5"/>
  <c r="AX24" i="5"/>
  <c r="AX23" i="5"/>
  <c r="AZ22" i="5"/>
  <c r="AX22" i="5"/>
  <c r="AX21" i="5"/>
  <c r="AZ20" i="5"/>
  <c r="AX20" i="5"/>
  <c r="AX19" i="5"/>
  <c r="AZ18" i="5"/>
  <c r="AX18" i="5"/>
  <c r="AX17" i="5"/>
  <c r="AZ16" i="5"/>
  <c r="AX16" i="5"/>
  <c r="AX15" i="5"/>
  <c r="AZ14" i="5"/>
  <c r="AX14" i="5"/>
  <c r="BA23" i="5"/>
  <c r="AX13" i="5"/>
  <c r="AZ12" i="5"/>
  <c r="AX12" i="5"/>
  <c r="AX11" i="5"/>
  <c r="AZ10" i="5"/>
  <c r="AX10" i="5"/>
  <c r="AX9" i="5"/>
  <c r="AZ8" i="5"/>
  <c r="AX8" i="5"/>
  <c r="BA11" i="5"/>
  <c r="BA7" i="5"/>
  <c r="AX7" i="5"/>
  <c r="BA9" i="5"/>
  <c r="AZ6" i="5"/>
  <c r="AX6" i="5"/>
  <c r="F6" i="5"/>
  <c r="AY7" i="5" s="1"/>
  <c r="AX35" i="4"/>
  <c r="AZ34" i="4"/>
  <c r="AX34" i="4"/>
  <c r="BA33" i="4"/>
  <c r="AX33" i="4"/>
  <c r="AZ32" i="4"/>
  <c r="AX32" i="4"/>
  <c r="AX31" i="4"/>
  <c r="AZ30" i="4"/>
  <c r="AX30" i="4"/>
  <c r="BA29" i="4"/>
  <c r="AX29" i="4"/>
  <c r="AZ28" i="4"/>
  <c r="AX28" i="4"/>
  <c r="BA27" i="4"/>
  <c r="AX27" i="4"/>
  <c r="AZ26" i="4"/>
  <c r="AX26" i="4"/>
  <c r="AX25" i="4"/>
  <c r="AZ24" i="4"/>
  <c r="AX24" i="4"/>
  <c r="AX23" i="4"/>
  <c r="AZ22" i="4"/>
  <c r="AX22" i="4"/>
  <c r="AX21" i="4"/>
  <c r="AZ20" i="4"/>
  <c r="AX20" i="4"/>
  <c r="AX19" i="4"/>
  <c r="AZ18" i="4"/>
  <c r="AX18" i="4"/>
  <c r="AX17" i="4"/>
  <c r="AZ16" i="4"/>
  <c r="AX16" i="4"/>
  <c r="AX15" i="4"/>
  <c r="AZ14" i="4"/>
  <c r="AX14" i="4"/>
  <c r="AX13" i="4"/>
  <c r="AZ12" i="4"/>
  <c r="AX12" i="4"/>
  <c r="AX11" i="4"/>
  <c r="AZ10" i="4"/>
  <c r="AX10" i="4"/>
  <c r="BA15" i="4"/>
  <c r="AX9" i="4"/>
  <c r="BA13" i="4"/>
  <c r="AZ8" i="4"/>
  <c r="AX8" i="4"/>
  <c r="AY7" i="4"/>
  <c r="AX7" i="4"/>
  <c r="AZ6" i="4"/>
  <c r="AX6" i="4"/>
  <c r="F6" i="4"/>
  <c r="AY6" i="4" s="1"/>
  <c r="AX35" i="3"/>
  <c r="AZ34" i="3"/>
  <c r="AX34" i="3"/>
  <c r="AX33" i="3"/>
  <c r="AZ32" i="3"/>
  <c r="AX32" i="3"/>
  <c r="AX31" i="3"/>
  <c r="AZ30" i="3"/>
  <c r="AX30" i="3"/>
  <c r="AX29" i="3"/>
  <c r="AZ28" i="3"/>
  <c r="AX28" i="3"/>
  <c r="BA27" i="3"/>
  <c r="AX27" i="3"/>
  <c r="AZ26" i="3"/>
  <c r="AX26" i="3"/>
  <c r="AX25" i="3"/>
  <c r="AZ24" i="3"/>
  <c r="AX24" i="3"/>
  <c r="AX23" i="3"/>
  <c r="AZ22" i="3"/>
  <c r="AX22" i="3"/>
  <c r="AX21" i="3"/>
  <c r="AZ20" i="3"/>
  <c r="AX20" i="3"/>
  <c r="AX19" i="3"/>
  <c r="AZ18" i="3"/>
  <c r="AX18" i="3"/>
  <c r="AX17" i="3"/>
  <c r="AZ16" i="3"/>
  <c r="AX16" i="3"/>
  <c r="AX15" i="3"/>
  <c r="AZ14" i="3"/>
  <c r="AX14" i="3"/>
  <c r="AX13" i="3"/>
  <c r="AZ12" i="3"/>
  <c r="AX12" i="3"/>
  <c r="AX11" i="3"/>
  <c r="BA17" i="3"/>
  <c r="AZ10" i="3"/>
  <c r="AX10" i="3"/>
  <c r="BA15" i="3"/>
  <c r="BA9" i="3"/>
  <c r="AX9" i="3"/>
  <c r="BA13" i="3"/>
  <c r="AZ8" i="3"/>
  <c r="AX8" i="3"/>
  <c r="AX7" i="3"/>
  <c r="AZ6" i="3"/>
  <c r="AX6" i="3"/>
  <c r="BA7" i="3"/>
  <c r="F6" i="3"/>
  <c r="AY7" i="3" s="1"/>
  <c r="AX35" i="2"/>
  <c r="AZ34" i="2"/>
  <c r="AX34" i="2"/>
  <c r="AX33" i="2"/>
  <c r="AZ32" i="2"/>
  <c r="AX32" i="2"/>
  <c r="AX31" i="2"/>
  <c r="AZ30" i="2"/>
  <c r="AX30" i="2"/>
  <c r="AX29" i="2"/>
  <c r="AZ28" i="2"/>
  <c r="AX28" i="2"/>
  <c r="AX27" i="2"/>
  <c r="AZ26" i="2"/>
  <c r="AX26" i="2"/>
  <c r="AX25" i="2"/>
  <c r="AZ24" i="2"/>
  <c r="AX24" i="2"/>
  <c r="AX23" i="2"/>
  <c r="AZ22" i="2"/>
  <c r="AX22" i="2"/>
  <c r="AX21" i="2"/>
  <c r="AZ20" i="2"/>
  <c r="AX20" i="2"/>
  <c r="AX19" i="2"/>
  <c r="AZ18" i="2"/>
  <c r="AX18" i="2"/>
  <c r="BA31" i="2"/>
  <c r="AX17" i="2"/>
  <c r="AZ16" i="2"/>
  <c r="AX16" i="2"/>
  <c r="AX15" i="2"/>
  <c r="AZ14" i="2"/>
  <c r="AX14" i="2"/>
  <c r="AX13" i="2"/>
  <c r="AZ12" i="2"/>
  <c r="AX12" i="2"/>
  <c r="BA11" i="2"/>
  <c r="AX11" i="2"/>
  <c r="AZ10" i="2"/>
  <c r="AX10" i="2"/>
  <c r="AX9" i="2"/>
  <c r="AZ8" i="2"/>
  <c r="AX8" i="2"/>
  <c r="AX7" i="2"/>
  <c r="AZ6" i="2"/>
  <c r="AX6" i="2"/>
  <c r="BA7" i="2"/>
  <c r="F6" i="2"/>
  <c r="AY6" i="2" s="1"/>
  <c r="AX35" i="1"/>
  <c r="AZ34" i="1"/>
  <c r="AX34" i="1"/>
  <c r="AX33" i="1"/>
  <c r="AZ32" i="1"/>
  <c r="AX32" i="1"/>
  <c r="AX31" i="1"/>
  <c r="AZ30" i="1"/>
  <c r="AX30" i="1"/>
  <c r="AX29" i="1"/>
  <c r="AZ28" i="1"/>
  <c r="AX28" i="1"/>
  <c r="AX27" i="1"/>
  <c r="AZ26" i="1"/>
  <c r="AX26" i="1"/>
  <c r="AX25" i="1"/>
  <c r="AZ24" i="1"/>
  <c r="AX24" i="1"/>
  <c r="AX23" i="1"/>
  <c r="AZ22" i="1"/>
  <c r="AX22" i="1"/>
  <c r="AX21" i="1"/>
  <c r="AZ20" i="1"/>
  <c r="AX20" i="1"/>
  <c r="K20" i="1"/>
  <c r="BA35" i="1" s="1"/>
  <c r="AX19" i="1"/>
  <c r="K19" i="1"/>
  <c r="BA33" i="1" s="1"/>
  <c r="AZ18" i="1"/>
  <c r="AX18" i="1"/>
  <c r="K18" i="1"/>
  <c r="BA31" i="1" s="1"/>
  <c r="AX17" i="1"/>
  <c r="K17" i="1"/>
  <c r="BA29" i="1" s="1"/>
  <c r="AZ16" i="1"/>
  <c r="AX16" i="1"/>
  <c r="BA27" i="1"/>
  <c r="AX15" i="1"/>
  <c r="L15" i="1"/>
  <c r="K15" i="1"/>
  <c r="BA25" i="1" s="1"/>
  <c r="AZ14" i="1"/>
  <c r="AX14" i="1"/>
  <c r="L14" i="1"/>
  <c r="K14" i="1"/>
  <c r="BA23" i="1" s="1"/>
  <c r="AX13" i="1"/>
  <c r="K13" i="1"/>
  <c r="BA21" i="1" s="1"/>
  <c r="AZ12" i="1"/>
  <c r="AX12" i="1"/>
  <c r="K12" i="1"/>
  <c r="BA19" i="1" s="1"/>
  <c r="AX11" i="1"/>
  <c r="K11" i="1"/>
  <c r="BA17" i="1" s="1"/>
  <c r="AZ10" i="1"/>
  <c r="AX10" i="1"/>
  <c r="K10" i="1"/>
  <c r="BA15" i="1" s="1"/>
  <c r="AX9" i="1"/>
  <c r="K9" i="1"/>
  <c r="BA13" i="1" s="1"/>
  <c r="AZ8" i="1"/>
  <c r="AX8" i="1"/>
  <c r="K8" i="1"/>
  <c r="AX7" i="1"/>
  <c r="K7" i="1"/>
  <c r="BA9" i="1" s="1"/>
  <c r="AZ6" i="1"/>
  <c r="AX6" i="1"/>
  <c r="K6" i="1"/>
  <c r="BA7" i="1" s="1"/>
  <c r="F6" i="1"/>
  <c r="AY7" i="1" s="1"/>
  <c r="J4" i="1"/>
  <c r="BA11" i="3" l="1"/>
  <c r="BA11" i="1"/>
  <c r="G6" i="5"/>
  <c r="AY6" i="8"/>
  <c r="G6" i="9"/>
  <c r="AY6" i="13"/>
  <c r="AY6" i="5"/>
  <c r="AY6" i="3"/>
  <c r="G6" i="4"/>
  <c r="G6" i="8"/>
  <c r="AY8" i="11"/>
  <c r="AY6" i="9"/>
  <c r="G6" i="6"/>
  <c r="L6" i="14"/>
  <c r="G6" i="3"/>
  <c r="G6" i="2"/>
  <c r="AY6" i="1"/>
  <c r="G6" i="1"/>
  <c r="G7" i="14"/>
  <c r="L7" i="14" s="1"/>
  <c r="AY8" i="14"/>
  <c r="AY9" i="14"/>
  <c r="AY9" i="8"/>
  <c r="AY9" i="9"/>
  <c r="G7" i="12"/>
  <c r="L7" i="12" s="1"/>
  <c r="F9" i="11"/>
  <c r="F8" i="11"/>
  <c r="G7" i="13"/>
  <c r="L7" i="13" s="1"/>
  <c r="AY8" i="13"/>
  <c r="AY9" i="13"/>
  <c r="G7" i="10"/>
  <c r="L7" i="10" s="1"/>
  <c r="AY9" i="10"/>
  <c r="AY8" i="10"/>
  <c r="AY8" i="12"/>
  <c r="AY9" i="3"/>
  <c r="AY9" i="4"/>
  <c r="AY9" i="11"/>
  <c r="AY7" i="14"/>
  <c r="AY7" i="13"/>
  <c r="AY7" i="2"/>
  <c r="AY6" i="10"/>
  <c r="AY6" i="12"/>
  <c r="AY9" i="5"/>
  <c r="AY7" i="7"/>
  <c r="AY7" i="10"/>
  <c r="AY7" i="12"/>
  <c r="G6" i="7"/>
  <c r="AY7" i="11"/>
  <c r="F7" i="7" l="1"/>
  <c r="AY8" i="7" s="1"/>
  <c r="L6" i="7"/>
  <c r="L6" i="6"/>
  <c r="F7" i="6"/>
  <c r="F7" i="8"/>
  <c r="L6" i="8"/>
  <c r="F7" i="9"/>
  <c r="L6" i="9"/>
  <c r="F7" i="4"/>
  <c r="L6" i="4"/>
  <c r="F7" i="2"/>
  <c r="AY9" i="2" s="1"/>
  <c r="L6" i="2"/>
  <c r="F7" i="3"/>
  <c r="L6" i="3"/>
  <c r="F7" i="5"/>
  <c r="L6" i="5"/>
  <c r="F7" i="1"/>
  <c r="L6" i="1"/>
  <c r="F8" i="10"/>
  <c r="F9" i="10"/>
  <c r="AY9" i="7"/>
  <c r="AY13" i="5"/>
  <c r="AY10" i="11"/>
  <c r="AY11" i="11"/>
  <c r="G8" i="11"/>
  <c r="F9" i="14"/>
  <c r="F8" i="14"/>
  <c r="F8" i="12"/>
  <c r="F9" i="12"/>
  <c r="F9" i="13"/>
  <c r="F8" i="13"/>
  <c r="AY12" i="11"/>
  <c r="G9" i="11"/>
  <c r="AY13" i="11"/>
  <c r="F10" i="11" l="1"/>
  <c r="L9" i="11"/>
  <c r="AY8" i="4"/>
  <c r="G7" i="4"/>
  <c r="AY8" i="2"/>
  <c r="AY8" i="8"/>
  <c r="G7" i="8"/>
  <c r="G7" i="7"/>
  <c r="L7" i="7" s="1"/>
  <c r="AY9" i="6"/>
  <c r="G7" i="6"/>
  <c r="AY8" i="6"/>
  <c r="AY8" i="9"/>
  <c r="G7" i="9"/>
  <c r="AY8" i="5"/>
  <c r="G7" i="5"/>
  <c r="G7" i="2"/>
  <c r="AY8" i="3"/>
  <c r="G7" i="3"/>
  <c r="G7" i="1"/>
  <c r="L7" i="1" s="1"/>
  <c r="AY8" i="1"/>
  <c r="AY9" i="1"/>
  <c r="AY11" i="14"/>
  <c r="AY10" i="14"/>
  <c r="G8" i="14"/>
  <c r="AY15" i="5"/>
  <c r="AY13" i="4"/>
  <c r="AY13" i="9"/>
  <c r="G9" i="14"/>
  <c r="AY12" i="14"/>
  <c r="AY13" i="14"/>
  <c r="AY13" i="6"/>
  <c r="AY13" i="2"/>
  <c r="AY13" i="3"/>
  <c r="AY12" i="10"/>
  <c r="AY13" i="10"/>
  <c r="G9" i="10"/>
  <c r="AY10" i="12"/>
  <c r="AY11" i="12"/>
  <c r="G8" i="12"/>
  <c r="G8" i="10"/>
  <c r="AY11" i="10"/>
  <c r="AY10" i="10"/>
  <c r="AY12" i="13"/>
  <c r="G9" i="13"/>
  <c r="AY13" i="13"/>
  <c r="AY13" i="12"/>
  <c r="AY12" i="12"/>
  <c r="G9" i="12"/>
  <c r="AY13" i="8"/>
  <c r="AY14" i="11"/>
  <c r="G10" i="11"/>
  <c r="AY15" i="11"/>
  <c r="AY10" i="13"/>
  <c r="AY11" i="13"/>
  <c r="G8" i="13"/>
  <c r="F10" i="10" l="1"/>
  <c r="L9" i="10"/>
  <c r="L7" i="6"/>
  <c r="F9" i="6"/>
  <c r="F8" i="6"/>
  <c r="L7" i="8"/>
  <c r="F8" i="8"/>
  <c r="F9" i="8"/>
  <c r="F9" i="7"/>
  <c r="F10" i="12"/>
  <c r="AY14" i="12" s="1"/>
  <c r="L9" i="12"/>
  <c r="F11" i="11"/>
  <c r="AY16" i="11" s="1"/>
  <c r="L10" i="11"/>
  <c r="F10" i="13"/>
  <c r="G10" i="13" s="1"/>
  <c r="L9" i="13"/>
  <c r="L7" i="3"/>
  <c r="F8" i="3"/>
  <c r="F9" i="3"/>
  <c r="F9" i="2"/>
  <c r="L7" i="2"/>
  <c r="F8" i="2"/>
  <c r="L7" i="4"/>
  <c r="F9" i="4"/>
  <c r="F8" i="4"/>
  <c r="F10" i="14"/>
  <c r="L9" i="14"/>
  <c r="F8" i="5"/>
  <c r="L7" i="5"/>
  <c r="F9" i="5"/>
  <c r="F8" i="7"/>
  <c r="G8" i="7" s="1"/>
  <c r="L7" i="9"/>
  <c r="F8" i="9"/>
  <c r="F9" i="9"/>
  <c r="F9" i="1"/>
  <c r="F8" i="1"/>
  <c r="AY17" i="5"/>
  <c r="AY15" i="2"/>
  <c r="AY15" i="8"/>
  <c r="AY17" i="11"/>
  <c r="AY14" i="14"/>
  <c r="AY15" i="14"/>
  <c r="G10" i="14"/>
  <c r="AY15" i="12"/>
  <c r="G10" i="12"/>
  <c r="AY15" i="9"/>
  <c r="AY13" i="7"/>
  <c r="G9" i="7"/>
  <c r="AY12" i="7"/>
  <c r="AY15" i="10"/>
  <c r="AY14" i="10"/>
  <c r="G10" i="10"/>
  <c r="AY15" i="6"/>
  <c r="AY15" i="4"/>
  <c r="AY15" i="13"/>
  <c r="AY14" i="13"/>
  <c r="AY15" i="3"/>
  <c r="F11" i="13" l="1"/>
  <c r="L10" i="13"/>
  <c r="G8" i="8"/>
  <c r="AY10" i="8"/>
  <c r="AY11" i="8"/>
  <c r="AY12" i="3"/>
  <c r="G9" i="3"/>
  <c r="AY11" i="7"/>
  <c r="G8" i="4"/>
  <c r="L8" i="4" s="1"/>
  <c r="AY10" i="4"/>
  <c r="AY11" i="4"/>
  <c r="AY12" i="4"/>
  <c r="G9" i="4"/>
  <c r="F10" i="7"/>
  <c r="L9" i="7"/>
  <c r="G11" i="11"/>
  <c r="L11" i="11" s="1"/>
  <c r="AY12" i="9"/>
  <c r="G9" i="9"/>
  <c r="AY11" i="2"/>
  <c r="AY10" i="2"/>
  <c r="G8" i="2"/>
  <c r="L8" i="2" s="1"/>
  <c r="G8" i="9"/>
  <c r="AY10" i="9"/>
  <c r="AY11" i="9"/>
  <c r="G9" i="8"/>
  <c r="AY12" i="8"/>
  <c r="AY12" i="2"/>
  <c r="G9" i="2"/>
  <c r="F11" i="10"/>
  <c r="AY16" i="10" s="1"/>
  <c r="L10" i="10"/>
  <c r="F11" i="12"/>
  <c r="AY16" i="12" s="1"/>
  <c r="L10" i="12"/>
  <c r="AY12" i="5"/>
  <c r="G9" i="5"/>
  <c r="AY11" i="3"/>
  <c r="G8" i="3"/>
  <c r="L8" i="3" s="1"/>
  <c r="AY10" i="3"/>
  <c r="G8" i="6"/>
  <c r="AY10" i="6"/>
  <c r="AY11" i="6"/>
  <c r="G9" i="6"/>
  <c r="AY12" i="6"/>
  <c r="AY10" i="5"/>
  <c r="G8" i="5"/>
  <c r="AY11" i="5"/>
  <c r="AY10" i="7"/>
  <c r="F11" i="14"/>
  <c r="AY16" i="14" s="1"/>
  <c r="L10" i="14"/>
  <c r="AY10" i="1"/>
  <c r="AY11" i="1"/>
  <c r="G8" i="1"/>
  <c r="L8" i="1" s="1"/>
  <c r="AY12" i="1"/>
  <c r="G9" i="1"/>
  <c r="AY13" i="1"/>
  <c r="AY17" i="9"/>
  <c r="G11" i="12"/>
  <c r="L11" i="12" s="1"/>
  <c r="AY17" i="12"/>
  <c r="AY17" i="3"/>
  <c r="AY17" i="8"/>
  <c r="AY17" i="2"/>
  <c r="F13" i="11"/>
  <c r="F12" i="11"/>
  <c r="AY17" i="6"/>
  <c r="AY17" i="13"/>
  <c r="AY16" i="13"/>
  <c r="G11" i="13"/>
  <c r="L11" i="13" s="1"/>
  <c r="AY17" i="14"/>
  <c r="G10" i="7"/>
  <c r="AY14" i="7"/>
  <c r="AY15" i="7"/>
  <c r="AY17" i="10"/>
  <c r="AY17" i="4"/>
  <c r="F10" i="5" l="1"/>
  <c r="L9" i="5"/>
  <c r="F11" i="7"/>
  <c r="L10" i="7"/>
  <c r="F10" i="2"/>
  <c r="L9" i="2"/>
  <c r="G11" i="10"/>
  <c r="L11" i="10" s="1"/>
  <c r="G11" i="14"/>
  <c r="L11" i="14" s="1"/>
  <c r="F10" i="3"/>
  <c r="L9" i="3"/>
  <c r="F10" i="9"/>
  <c r="L9" i="9"/>
  <c r="F10" i="6"/>
  <c r="L9" i="6"/>
  <c r="F10" i="8"/>
  <c r="L9" i="8"/>
  <c r="F10" i="4"/>
  <c r="L9" i="4"/>
  <c r="F10" i="1"/>
  <c r="AY14" i="1" s="1"/>
  <c r="L9" i="1"/>
  <c r="AY15" i="1"/>
  <c r="F12" i="10"/>
  <c r="AY16" i="7"/>
  <c r="G11" i="7"/>
  <c r="L11" i="7" s="1"/>
  <c r="AY17" i="7"/>
  <c r="AY21" i="5"/>
  <c r="AY19" i="5"/>
  <c r="F12" i="12"/>
  <c r="F13" i="12"/>
  <c r="G13" i="11"/>
  <c r="L13" i="11" s="1"/>
  <c r="AY20" i="11"/>
  <c r="AY21" i="11"/>
  <c r="F12" i="13"/>
  <c r="F13" i="13"/>
  <c r="F15" i="11"/>
  <c r="AY19" i="11"/>
  <c r="AY18" i="11"/>
  <c r="F14" i="11"/>
  <c r="G12" i="11"/>
  <c r="G10" i="1" l="1"/>
  <c r="G10" i="4"/>
  <c r="AY14" i="4"/>
  <c r="AY14" i="9"/>
  <c r="G10" i="9"/>
  <c r="AY14" i="3"/>
  <c r="G10" i="3"/>
  <c r="AY14" i="8"/>
  <c r="G10" i="8"/>
  <c r="F16" i="11"/>
  <c r="G16" i="11" s="1"/>
  <c r="L12" i="11"/>
  <c r="F12" i="14"/>
  <c r="AY18" i="14" s="1"/>
  <c r="F13" i="10"/>
  <c r="AY20" i="10" s="1"/>
  <c r="AY14" i="2"/>
  <c r="G10" i="2"/>
  <c r="F13" i="14"/>
  <c r="AY20" i="14" s="1"/>
  <c r="G10" i="6"/>
  <c r="AY14" i="6"/>
  <c r="G10" i="5"/>
  <c r="AY14" i="5"/>
  <c r="F11" i="1"/>
  <c r="G11" i="1" s="1"/>
  <c r="L11" i="1" s="1"/>
  <c r="L10" i="1"/>
  <c r="AY17" i="1"/>
  <c r="AY21" i="2"/>
  <c r="AY25" i="11"/>
  <c r="AY24" i="11"/>
  <c r="G15" i="11"/>
  <c r="F13" i="7"/>
  <c r="F12" i="7"/>
  <c r="AY21" i="13"/>
  <c r="G13" i="13"/>
  <c r="L13" i="13" s="1"/>
  <c r="AY20" i="13"/>
  <c r="AY21" i="4"/>
  <c r="AY18" i="12"/>
  <c r="F15" i="12"/>
  <c r="AY19" i="12"/>
  <c r="F14" i="12"/>
  <c r="G12" i="12"/>
  <c r="L12" i="12" s="1"/>
  <c r="F14" i="10"/>
  <c r="AY18" i="10"/>
  <c r="F15" i="10"/>
  <c r="G12" i="10"/>
  <c r="AY19" i="10"/>
  <c r="AY19" i="13"/>
  <c r="F14" i="13"/>
  <c r="G12" i="13"/>
  <c r="AY18" i="13"/>
  <c r="F15" i="13"/>
  <c r="AY21" i="10"/>
  <c r="AY21" i="6"/>
  <c r="AY19" i="4"/>
  <c r="AY19" i="6"/>
  <c r="G13" i="12"/>
  <c r="L13" i="12" s="1"/>
  <c r="AY20" i="12"/>
  <c r="AY21" i="12"/>
  <c r="AY21" i="14"/>
  <c r="G13" i="14"/>
  <c r="L13" i="14" s="1"/>
  <c r="AY19" i="8"/>
  <c r="AY26" i="11"/>
  <c r="AY27" i="11"/>
  <c r="AY27" i="5"/>
  <c r="AY21" i="8"/>
  <c r="AY19" i="14"/>
  <c r="G12" i="14"/>
  <c r="F15" i="14"/>
  <c r="AY21" i="9"/>
  <c r="AY19" i="9"/>
  <c r="AY19" i="3"/>
  <c r="AY22" i="11"/>
  <c r="AY23" i="11"/>
  <c r="G14" i="11"/>
  <c r="AY19" i="2"/>
  <c r="AY21" i="3"/>
  <c r="AY16" i="1" l="1"/>
  <c r="F17" i="11"/>
  <c r="L16" i="11"/>
  <c r="G13" i="10"/>
  <c r="L13" i="10" s="1"/>
  <c r="F11" i="8"/>
  <c r="L10" i="8"/>
  <c r="F16" i="14"/>
  <c r="AY26" i="14" s="1"/>
  <c r="L12" i="14"/>
  <c r="F14" i="14"/>
  <c r="F11" i="5"/>
  <c r="L10" i="5"/>
  <c r="F11" i="3"/>
  <c r="L10" i="3"/>
  <c r="F11" i="6"/>
  <c r="L10" i="6"/>
  <c r="F11" i="9"/>
  <c r="L10" i="9"/>
  <c r="F16" i="10"/>
  <c r="L12" i="10"/>
  <c r="F16" i="13"/>
  <c r="L12" i="13"/>
  <c r="F11" i="2"/>
  <c r="L10" i="2"/>
  <c r="F11" i="4"/>
  <c r="L10" i="4"/>
  <c r="F12" i="1"/>
  <c r="F13" i="1"/>
  <c r="AY27" i="4"/>
  <c r="G15" i="12"/>
  <c r="AY24" i="12"/>
  <c r="AY25" i="12"/>
  <c r="AY28" i="11"/>
  <c r="AY29" i="11"/>
  <c r="G17" i="11"/>
  <c r="AY22" i="13"/>
  <c r="G14" i="13"/>
  <c r="AY23" i="13"/>
  <c r="AY29" i="5"/>
  <c r="G16" i="13"/>
  <c r="AY27" i="13"/>
  <c r="AY26" i="13"/>
  <c r="AY27" i="9"/>
  <c r="G15" i="14"/>
  <c r="AY24" i="14"/>
  <c r="AY25" i="14"/>
  <c r="AY27" i="10"/>
  <c r="AY26" i="10"/>
  <c r="G16" i="10"/>
  <c r="AY23" i="14"/>
  <c r="G14" i="14"/>
  <c r="AY22" i="14"/>
  <c r="G15" i="10"/>
  <c r="AY25" i="10"/>
  <c r="AY24" i="10"/>
  <c r="AY22" i="10"/>
  <c r="AY23" i="10"/>
  <c r="G14" i="10"/>
  <c r="AY18" i="7"/>
  <c r="F15" i="7"/>
  <c r="F14" i="7"/>
  <c r="G12" i="7"/>
  <c r="L12" i="7" s="1"/>
  <c r="AY19" i="7"/>
  <c r="AY27" i="2"/>
  <c r="F16" i="12"/>
  <c r="AY20" i="7"/>
  <c r="G13" i="7"/>
  <c r="L13" i="7" s="1"/>
  <c r="AY21" i="7"/>
  <c r="AY23" i="12"/>
  <c r="AY22" i="12"/>
  <c r="G14" i="12"/>
  <c r="AY27" i="14"/>
  <c r="AY25" i="13"/>
  <c r="AY24" i="13"/>
  <c r="G15" i="13"/>
  <c r="F18" i="11" l="1"/>
  <c r="AY30" i="11" s="1"/>
  <c r="L17" i="11"/>
  <c r="F17" i="13"/>
  <c r="AY28" i="13" s="1"/>
  <c r="L16" i="13"/>
  <c r="AY16" i="2"/>
  <c r="G11" i="2"/>
  <c r="G11" i="5"/>
  <c r="AY16" i="5"/>
  <c r="G16" i="14"/>
  <c r="AY16" i="8"/>
  <c r="G11" i="8"/>
  <c r="AY16" i="3"/>
  <c r="G11" i="3"/>
  <c r="F17" i="10"/>
  <c r="G17" i="10" s="1"/>
  <c r="L16" i="10"/>
  <c r="AY16" i="9"/>
  <c r="G11" i="9"/>
  <c r="G11" i="4"/>
  <c r="AY16" i="4"/>
  <c r="AY16" i="6"/>
  <c r="G11" i="6"/>
  <c r="AY21" i="1"/>
  <c r="AY20" i="1"/>
  <c r="G13" i="1"/>
  <c r="L13" i="1" s="1"/>
  <c r="AY19" i="1"/>
  <c r="F14" i="1"/>
  <c r="F15" i="1"/>
  <c r="AY18" i="1"/>
  <c r="G12" i="1"/>
  <c r="L12" i="1" s="1"/>
  <c r="AY29" i="9"/>
  <c r="AY24" i="7"/>
  <c r="G15" i="7"/>
  <c r="AY25" i="7"/>
  <c r="AY29" i="10"/>
  <c r="AY27" i="12"/>
  <c r="G16" i="12"/>
  <c r="AY26" i="12"/>
  <c r="AY27" i="6"/>
  <c r="AY31" i="11"/>
  <c r="F16" i="7"/>
  <c r="AY29" i="4"/>
  <c r="AY29" i="14"/>
  <c r="AY29" i="2"/>
  <c r="AY27" i="8"/>
  <c r="AY29" i="13"/>
  <c r="G17" i="13"/>
  <c r="AY23" i="7"/>
  <c r="G14" i="7"/>
  <c r="AY22" i="7"/>
  <c r="AY31" i="5"/>
  <c r="AY27" i="3"/>
  <c r="F18" i="10" l="1"/>
  <c r="L17" i="10"/>
  <c r="F18" i="13"/>
  <c r="L17" i="13"/>
  <c r="G18" i="11"/>
  <c r="L11" i="6"/>
  <c r="F13" i="6"/>
  <c r="F12" i="6"/>
  <c r="F17" i="14"/>
  <c r="L16" i="14"/>
  <c r="AY28" i="10"/>
  <c r="L11" i="3"/>
  <c r="F12" i="3"/>
  <c r="F13" i="3"/>
  <c r="L11" i="8"/>
  <c r="F13" i="8"/>
  <c r="F12" i="8"/>
  <c r="L11" i="5"/>
  <c r="F12" i="5"/>
  <c r="F13" i="5"/>
  <c r="L11" i="4"/>
  <c r="F12" i="4"/>
  <c r="F13" i="4"/>
  <c r="L11" i="2"/>
  <c r="F13" i="2"/>
  <c r="F12" i="2"/>
  <c r="L11" i="9"/>
  <c r="F13" i="9"/>
  <c r="F12" i="9"/>
  <c r="F17" i="12"/>
  <c r="G17" i="12" s="1"/>
  <c r="L16" i="12"/>
  <c r="F16" i="1"/>
  <c r="G16" i="1" s="1"/>
  <c r="G15" i="1"/>
  <c r="AY24" i="1"/>
  <c r="AY25" i="1"/>
  <c r="AY22" i="1"/>
  <c r="G14" i="1"/>
  <c r="AY23" i="1"/>
  <c r="AY29" i="12"/>
  <c r="AY29" i="8"/>
  <c r="AY27" i="7"/>
  <c r="G16" i="7"/>
  <c r="AY26" i="7"/>
  <c r="AY31" i="10"/>
  <c r="G18" i="10"/>
  <c r="AY30" i="10"/>
  <c r="AY31" i="2"/>
  <c r="AY33" i="5"/>
  <c r="AY29" i="6"/>
  <c r="AY31" i="9"/>
  <c r="AY29" i="3"/>
  <c r="AY33" i="11"/>
  <c r="AY31" i="14"/>
  <c r="AY31" i="13"/>
  <c r="G18" i="13"/>
  <c r="AY30" i="13"/>
  <c r="AY31" i="4"/>
  <c r="F17" i="1" l="1"/>
  <c r="G17" i="1" s="1"/>
  <c r="L16" i="1"/>
  <c r="F18" i="12"/>
  <c r="L17" i="12"/>
  <c r="F14" i="4"/>
  <c r="F15" i="4"/>
  <c r="G12" i="4"/>
  <c r="AY18" i="4"/>
  <c r="G17" i="14"/>
  <c r="AY28" i="14"/>
  <c r="AY20" i="5"/>
  <c r="G13" i="5"/>
  <c r="L13" i="5" s="1"/>
  <c r="F14" i="6"/>
  <c r="AY18" i="6"/>
  <c r="G12" i="6"/>
  <c r="F15" i="6"/>
  <c r="G13" i="6"/>
  <c r="L13" i="6" s="1"/>
  <c r="AY20" i="6"/>
  <c r="AY18" i="8"/>
  <c r="F15" i="8"/>
  <c r="F14" i="8"/>
  <c r="G12" i="8"/>
  <c r="AY28" i="12"/>
  <c r="AY20" i="9"/>
  <c r="G13" i="9"/>
  <c r="L13" i="9" s="1"/>
  <c r="AY20" i="8"/>
  <c r="G13" i="8"/>
  <c r="L13" i="8" s="1"/>
  <c r="F14" i="9"/>
  <c r="F15" i="9"/>
  <c r="AY18" i="9"/>
  <c r="G12" i="9"/>
  <c r="F19" i="11"/>
  <c r="L18" i="11"/>
  <c r="AY18" i="2"/>
  <c r="G12" i="2"/>
  <c r="F15" i="2"/>
  <c r="F14" i="2"/>
  <c r="G13" i="3"/>
  <c r="L13" i="3" s="1"/>
  <c r="AY20" i="3"/>
  <c r="AY20" i="4"/>
  <c r="G13" i="4"/>
  <c r="L13" i="4" s="1"/>
  <c r="F17" i="7"/>
  <c r="G17" i="7" s="1"/>
  <c r="L16" i="7"/>
  <c r="G12" i="5"/>
  <c r="AY18" i="5"/>
  <c r="F15" i="5"/>
  <c r="F14" i="5"/>
  <c r="F19" i="13"/>
  <c r="G19" i="13" s="1"/>
  <c r="L18" i="13"/>
  <c r="F19" i="10"/>
  <c r="AY32" i="10" s="1"/>
  <c r="L18" i="10"/>
  <c r="G13" i="2"/>
  <c r="L13" i="2" s="1"/>
  <c r="AY20" i="2"/>
  <c r="F14" i="3"/>
  <c r="G12" i="3"/>
  <c r="AY18" i="3"/>
  <c r="F15" i="3"/>
  <c r="AY29" i="1"/>
  <c r="AY28" i="1"/>
  <c r="AY26" i="1"/>
  <c r="AY27" i="1"/>
  <c r="AY31" i="6"/>
  <c r="AY29" i="7"/>
  <c r="AY35" i="5"/>
  <c r="AY35" i="11"/>
  <c r="AY31" i="3"/>
  <c r="AY31" i="1"/>
  <c r="AY31" i="8"/>
  <c r="AY33" i="10"/>
  <c r="AY33" i="4"/>
  <c r="AY33" i="2"/>
  <c r="AY33" i="14"/>
  <c r="AY32" i="13"/>
  <c r="AY33" i="13"/>
  <c r="AY33" i="9"/>
  <c r="AY31" i="12"/>
  <c r="AY30" i="12"/>
  <c r="G18" i="12"/>
  <c r="F18" i="1" l="1"/>
  <c r="L17" i="1"/>
  <c r="F20" i="13"/>
  <c r="L19" i="13"/>
  <c r="F18" i="7"/>
  <c r="L17" i="7"/>
  <c r="G15" i="2"/>
  <c r="AY24" i="2"/>
  <c r="AY25" i="2"/>
  <c r="G19" i="10"/>
  <c r="AY22" i="5"/>
  <c r="G14" i="5"/>
  <c r="AY23" i="5"/>
  <c r="F16" i="2"/>
  <c r="L12" i="2"/>
  <c r="AY24" i="5"/>
  <c r="AY25" i="5"/>
  <c r="G15" i="5"/>
  <c r="L12" i="8"/>
  <c r="F16" i="8"/>
  <c r="AY22" i="6"/>
  <c r="AY23" i="6"/>
  <c r="G14" i="6"/>
  <c r="AY32" i="11"/>
  <c r="G19" i="11"/>
  <c r="F19" i="12"/>
  <c r="AY32" i="12" s="1"/>
  <c r="L18" i="12"/>
  <c r="AY28" i="7"/>
  <c r="AY24" i="9"/>
  <c r="G15" i="9"/>
  <c r="AY25" i="9"/>
  <c r="AY22" i="4"/>
  <c r="G14" i="4"/>
  <c r="AY23" i="4"/>
  <c r="AY25" i="3"/>
  <c r="G15" i="3"/>
  <c r="AY24" i="3"/>
  <c r="AY24" i="8"/>
  <c r="G15" i="8"/>
  <c r="AY25" i="8"/>
  <c r="L12" i="3"/>
  <c r="F16" i="3"/>
  <c r="F16" i="9"/>
  <c r="L12" i="9"/>
  <c r="AY24" i="4"/>
  <c r="AY25" i="4"/>
  <c r="G15" i="4"/>
  <c r="AY23" i="9"/>
  <c r="G14" i="9"/>
  <c r="AY22" i="9"/>
  <c r="AY24" i="6"/>
  <c r="G15" i="6"/>
  <c r="AY25" i="6"/>
  <c r="G14" i="2"/>
  <c r="AY23" i="2"/>
  <c r="AY22" i="2"/>
  <c r="G14" i="8"/>
  <c r="AY23" i="8"/>
  <c r="AY22" i="8"/>
  <c r="F18" i="14"/>
  <c r="L17" i="14"/>
  <c r="F16" i="5"/>
  <c r="L12" i="5"/>
  <c r="F16" i="4"/>
  <c r="L12" i="4"/>
  <c r="AY22" i="3"/>
  <c r="AY23" i="3"/>
  <c r="G14" i="3"/>
  <c r="L12" i="6"/>
  <c r="F16" i="6"/>
  <c r="AY35" i="13"/>
  <c r="AY34" i="13"/>
  <c r="G20" i="13"/>
  <c r="AY35" i="14"/>
  <c r="AY33" i="12"/>
  <c r="AY35" i="10"/>
  <c r="AY33" i="8"/>
  <c r="AY33" i="1"/>
  <c r="AY30" i="7"/>
  <c r="G18" i="7"/>
  <c r="AY31" i="7"/>
  <c r="AY33" i="6"/>
  <c r="AY33" i="3"/>
  <c r="AY35" i="9"/>
  <c r="G18" i="1" l="1"/>
  <c r="AY30" i="1"/>
  <c r="AY26" i="6"/>
  <c r="G16" i="6"/>
  <c r="F20" i="10"/>
  <c r="L19" i="10"/>
  <c r="F19" i="7"/>
  <c r="L18" i="7"/>
  <c r="AY26" i="3"/>
  <c r="G16" i="3"/>
  <c r="G19" i="12"/>
  <c r="G16" i="5"/>
  <c r="AY26" i="5"/>
  <c r="AY26" i="2"/>
  <c r="G16" i="2"/>
  <c r="G18" i="14"/>
  <c r="AY30" i="14"/>
  <c r="AY26" i="8"/>
  <c r="G16" i="8"/>
  <c r="G16" i="4"/>
  <c r="AY26" i="4"/>
  <c r="F20" i="11"/>
  <c r="L19" i="11"/>
  <c r="G16" i="9"/>
  <c r="AY26" i="9"/>
  <c r="AY35" i="8"/>
  <c r="AY33" i="7"/>
  <c r="AY32" i="7"/>
  <c r="G19" i="7"/>
  <c r="AY35" i="12"/>
  <c r="AY35" i="6"/>
  <c r="F19" i="1" l="1"/>
  <c r="L18" i="1"/>
  <c r="F17" i="3"/>
  <c r="L16" i="3"/>
  <c r="F20" i="7"/>
  <c r="G20" i="7" s="1"/>
  <c r="L19" i="7"/>
  <c r="F17" i="9"/>
  <c r="L16" i="9"/>
  <c r="F20" i="12"/>
  <c r="L19" i="12"/>
  <c r="F17" i="5"/>
  <c r="L16" i="5"/>
  <c r="AY34" i="10"/>
  <c r="G20" i="10"/>
  <c r="F17" i="2"/>
  <c r="L16" i="2"/>
  <c r="AY34" i="11"/>
  <c r="G20" i="11"/>
  <c r="F17" i="4"/>
  <c r="L16" i="4"/>
  <c r="F17" i="8"/>
  <c r="L16" i="8"/>
  <c r="F19" i="14"/>
  <c r="L18" i="14"/>
  <c r="F17" i="6"/>
  <c r="L16" i="6"/>
  <c r="AY35" i="7"/>
  <c r="G19" i="1" l="1"/>
  <c r="AY32" i="1"/>
  <c r="AY28" i="5"/>
  <c r="G17" i="5"/>
  <c r="AY28" i="6"/>
  <c r="G17" i="6"/>
  <c r="G19" i="14"/>
  <c r="AY32" i="14"/>
  <c r="G17" i="8"/>
  <c r="AY28" i="8"/>
  <c r="AY28" i="4"/>
  <c r="G17" i="4"/>
  <c r="AY34" i="12"/>
  <c r="G20" i="12"/>
  <c r="AY28" i="9"/>
  <c r="G17" i="9"/>
  <c r="AY34" i="7"/>
  <c r="G17" i="2"/>
  <c r="AY28" i="2"/>
  <c r="AY28" i="3"/>
  <c r="G17" i="3"/>
  <c r="F20" i="1" l="1"/>
  <c r="L19" i="1"/>
  <c r="F18" i="3"/>
  <c r="L17" i="3"/>
  <c r="F18" i="2"/>
  <c r="L17" i="2"/>
  <c r="F18" i="6"/>
  <c r="L17" i="6"/>
  <c r="F18" i="8"/>
  <c r="L17" i="8"/>
  <c r="F20" i="14"/>
  <c r="L19" i="14"/>
  <c r="F18" i="9"/>
  <c r="L17" i="9"/>
  <c r="F18" i="5"/>
  <c r="L17" i="5"/>
  <c r="F18" i="4"/>
  <c r="L17" i="4"/>
  <c r="G20" i="1" l="1"/>
  <c r="L20" i="1" s="1"/>
  <c r="AY35" i="1"/>
  <c r="AY34" i="1"/>
  <c r="AY30" i="5"/>
  <c r="G18" i="5"/>
  <c r="G18" i="9"/>
  <c r="AY30" i="9"/>
  <c r="AY30" i="8"/>
  <c r="G18" i="8"/>
  <c r="G18" i="6"/>
  <c r="AY30" i="6"/>
  <c r="G18" i="3"/>
  <c r="AY30" i="3"/>
  <c r="G18" i="2"/>
  <c r="AY30" i="2"/>
  <c r="G20" i="14"/>
  <c r="AY34" i="14"/>
  <c r="G18" i="4"/>
  <c r="AY30" i="4"/>
  <c r="F19" i="2" l="1"/>
  <c r="L18" i="2"/>
  <c r="F19" i="8"/>
  <c r="L18" i="8"/>
  <c r="F19" i="6"/>
  <c r="L18" i="6"/>
  <c r="F19" i="4"/>
  <c r="L18" i="4"/>
  <c r="F19" i="9"/>
  <c r="L18" i="9"/>
  <c r="F19" i="3"/>
  <c r="L18" i="3"/>
  <c r="F19" i="5"/>
  <c r="L18" i="5"/>
  <c r="AY32" i="9" l="1"/>
  <c r="G19" i="9"/>
  <c r="AY32" i="6"/>
  <c r="G19" i="6"/>
  <c r="G19" i="3"/>
  <c r="AY32" i="3"/>
  <c r="G19" i="4"/>
  <c r="AY32" i="4"/>
  <c r="AY32" i="8"/>
  <c r="G19" i="8"/>
  <c r="AY32" i="5"/>
  <c r="G19" i="5"/>
  <c r="AY32" i="2"/>
  <c r="G19" i="2"/>
  <c r="F20" i="5" l="1"/>
  <c r="L19" i="5"/>
  <c r="F20" i="8"/>
  <c r="L19" i="8"/>
  <c r="F20" i="4"/>
  <c r="AY35" i="4" s="1"/>
  <c r="L19" i="4"/>
  <c r="F20" i="3"/>
  <c r="AY35" i="3" s="1"/>
  <c r="L19" i="3"/>
  <c r="F20" i="6"/>
  <c r="L19" i="6"/>
  <c r="F20" i="2"/>
  <c r="AY35" i="2" s="1"/>
  <c r="L19" i="2"/>
  <c r="F20" i="9"/>
  <c r="L19" i="9"/>
  <c r="AY34" i="2" l="1"/>
  <c r="G20" i="2"/>
  <c r="L20" i="2" s="1"/>
  <c r="G20" i="6"/>
  <c r="AY34" i="6"/>
  <c r="G20" i="4"/>
  <c r="L20" i="4" s="1"/>
  <c r="AY34" i="4"/>
  <c r="G20" i="9"/>
  <c r="AY34" i="9"/>
  <c r="AY34" i="3"/>
  <c r="G20" i="3"/>
  <c r="L20" i="3" s="1"/>
  <c r="G20" i="8"/>
  <c r="AY34" i="8"/>
  <c r="AY34" i="5"/>
  <c r="G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tc={56197BF5-33CB-4EBF-9C7A-9511D53AE7DE}</author>
  </authors>
  <commentList>
    <comment ref="I7" authorId="0" shapeId="0" xr:uid="{56197BF5-33CB-4EBF-9C7A-9511D53AE7DE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tc={CF1D9C69-5863-4728-8570-71DC1698DD4D}</author>
  </authors>
  <commentList>
    <comment ref="I7" authorId="0" shapeId="0" xr:uid="{CF1D9C69-5863-4728-8570-71DC1698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tc={BA477E59-8C72-4C2D-B577-7C9A0FF37D0D}</author>
  </authors>
  <commentList>
    <comment ref="I7" authorId="0" shapeId="0" xr:uid="{BA477E59-8C72-4C2D-B577-7C9A0FF37D0D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tc={37AFEEAA-9E79-453F-91A5-E0753FB8D8A1}</author>
  </authors>
  <commentList>
    <comment ref="I7" authorId="0" shapeId="0" xr:uid="{37AFEEAA-9E79-453F-91A5-E0753FB8D8A1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tc={E2243723-653E-41A8-A54E-34E1053D171F}</author>
  </authors>
  <commentList>
    <comment ref="I7" authorId="0" shapeId="0" xr:uid="{E2243723-653E-41A8-A54E-34E1053D171F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tc={BAE8A2DA-D17D-46B9-AAEF-299068FBFE3C}</author>
  </authors>
  <commentList>
    <comment ref="I7" authorId="0" shapeId="0" xr:uid="{BAE8A2DA-D17D-46B9-AAEF-299068FBFE3C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tc={D12C079D-1F13-4839-8478-B8D24B882FA5}</author>
  </authors>
  <commentList>
    <comment ref="I7" authorId="0" shapeId="0" xr:uid="{D12C079D-1F13-4839-8478-B8D24B882FA5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tc={9D95CB31-DD5A-4013-9504-16069ADDF647}</author>
  </authors>
  <commentList>
    <comment ref="I7" authorId="0" shapeId="0" xr:uid="{9D95CB31-DD5A-4013-9504-16069ADDF647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tc={F322CBDD-F777-456B-9CF6-200B62F3A1EA}</author>
  </authors>
  <commentList>
    <comment ref="I7" authorId="0" shapeId="0" xr:uid="{F322CBDD-F777-456B-9CF6-200B62F3A1EA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tc={11EF4ADF-4591-4611-AC28-A87AEBFA670B}</author>
  </authors>
  <commentList>
    <comment ref="I7" authorId="0" shapeId="0" xr:uid="{11EF4ADF-4591-4611-AC28-A87AEBFA670B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tc={DA285CA5-34E1-4397-8FE4-914902A6FDE7}</author>
  </authors>
  <commentList>
    <comment ref="I7" authorId="0" shapeId="0" xr:uid="{DA285CA5-34E1-4397-8FE4-914902A6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tc={1040637B-05C3-4FFA-AEB3-DD2FEB4BC763}</author>
  </authors>
  <commentList>
    <comment ref="I7" authorId="0" shapeId="0" xr:uid="{1040637B-05C3-4FFA-AEB3-DD2FEB4B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tc={50438469-4436-4FD8-A64A-42B85E9C6025}</author>
  </authors>
  <commentList>
    <comment ref="I7" authorId="0" shapeId="0" xr:uid="{50438469-4436-4FD8-A64A-42B85E9C6025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tc={CF129D97-E063-4A35-B662-7BEDD8A9E978}</author>
  </authors>
  <commentList>
    <comment ref="I7" authorId="0" shapeId="0" xr:uid="{CF129D97-E063-4A35-B662-7BEDD8A9E978}">
      <text>
        <t>[Threaded comment]
Your version of Excel allows you to read this threaded comment; however, any edits to it will get removed if the file is opened in a newer version of Excel. Learn more: https://go.microsoft.com/fwlink/?linkid=870924
Comment:
    Fueron detenidos por Aduana, se enviaron nuevamente el 06/03/2026</t>
      </text>
    </comment>
  </commentList>
</comments>
</file>

<file path=xl/sharedStrings.xml><?xml version="1.0" encoding="utf-8"?>
<sst xmlns="http://schemas.openxmlformats.org/spreadsheetml/2006/main" count="869" uniqueCount="53">
  <si>
    <t>CRONOGRAMA DE PROYECTO - NUEVOS DESARROLLOS 2026</t>
  </si>
  <si>
    <t>Fecha inicio:</t>
  </si>
  <si>
    <t>Hoy:</t>
  </si>
  <si>
    <t>#</t>
  </si>
  <si>
    <t>Tarea</t>
  </si>
  <si>
    <t>Dur. (días)</t>
  </si>
  <si>
    <t>Depende de (#)</t>
  </si>
  <si>
    <t>Tipo dep.</t>
  </si>
  <si>
    <t>Inicio</t>
  </si>
  <si>
    <t>Fin</t>
  </si>
  <si>
    <t>Estatus</t>
  </si>
  <si>
    <t>Inicio real</t>
  </si>
  <si>
    <t>Fin real</t>
  </si>
  <si>
    <t>Dur. real (días)</t>
  </si>
  <si>
    <t>Desvío (días)</t>
  </si>
  <si>
    <t>Estimado</t>
  </si>
  <si>
    <t>Real</t>
  </si>
  <si>
    <t>Muestras finalizadas en China</t>
  </si>
  <si>
    <t>Pendiente</t>
  </si>
  <si>
    <t>Courier a Mexico</t>
  </si>
  <si>
    <t>DEADLINE aprobación Cloé (confirmación muestra final)</t>
  </si>
  <si>
    <t>FI</t>
  </si>
  <si>
    <t>Reunión con Comité y entrega de muestras</t>
  </si>
  <si>
    <t>Confirmación de muestras y packaging</t>
  </si>
  <si>
    <t>Master Cloé (modelo &amp; upc)</t>
  </si>
  <si>
    <t>Producción de producto</t>
  </si>
  <si>
    <t>Producción de packaging</t>
  </si>
  <si>
    <t>Muestras de producción a México (fotografía)</t>
  </si>
  <si>
    <t>II</t>
  </si>
  <si>
    <t>Gestión proveedores Cloé</t>
  </si>
  <si>
    <t>Inspección</t>
  </si>
  <si>
    <t>Orden terminada + CUT OFF + tiempos puerto</t>
  </si>
  <si>
    <t>Tránsito marítimo</t>
  </si>
  <si>
    <t>Aduana México</t>
  </si>
  <si>
    <t>Lanzamiento</t>
  </si>
  <si>
    <t>PASSPORT HOLDER WITH ZIPPER — BLACK (6TRAO26789NEG)</t>
  </si>
  <si>
    <t>PASSPORT HOLDER WITH ZIPPER — BEIGE (6TRAO26790BEIGE)</t>
  </si>
  <si>
    <t>SET 3 MINI ORGANIZERS — BLACK (6TRAO26791NEG)</t>
  </si>
  <si>
    <t>SET 3 TRAVEL ORGANIZERS — BLACK (6TRAO26792NEG)</t>
  </si>
  <si>
    <t>COSMETIC CASE - MEDIUM — BLACK (6TRAI26793NEG)</t>
  </si>
  <si>
    <t>TSA LOCK WITH FLEXIBLE CABLE — RED (6TRAI26794ROJ)</t>
  </si>
  <si>
    <t>TRAVEL BOTTLES - SET OF 3 — MULTICOLOR (6TRAI26795MUL)</t>
  </si>
  <si>
    <t>ID TAG — BLACK (6TRAI26796NEG)</t>
  </si>
  <si>
    <t>ID TAG — LIME (6TRAI26797VER)</t>
  </si>
  <si>
    <t>ID TAG — RED (6TRAI26798ROJ)</t>
  </si>
  <si>
    <t>TRAVEL NECESSAIR — BLACK (6TRAI26799NEG)</t>
  </si>
  <si>
    <t>PASSPORT HOLDER with magnet — BLACK (6TRAO26787NEG)</t>
  </si>
  <si>
    <t>Segunda tanda de muestras finalizadas en China</t>
  </si>
  <si>
    <t>Completada</t>
  </si>
  <si>
    <t>En curso</t>
  </si>
  <si>
    <t>PASSPORT HOLDER with magnet — BEIGE (6TRAO26787BEI)</t>
  </si>
  <si>
    <t>PASSPORT HOLDER — BLACK individual size (6TRAO26788NEG)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</si>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</sst>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0"/>
  </numFmts>
  <fonts count="7" x14ac:knownFonts="1">
    <font>
      <sz val="11"/>
      <color theme="1"/>
      <name val="Calibri"/>
      <family val="2"/>
      <charset val="1"/>
    </font>
    <font>
      <b/>
      <sz val="14"/>
      <color rgb="FF30549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14" fontId="4" fillId="3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4" borderId="1" xfId="0" applyFill="1" applyBorder="1"/>
    <xf numFmtId="0" fontId="2" fillId="2" borderId="0" xfId="0" applyFont="1" applyFill="1"/>
    <xf numFmtId="0" fontId="2" fillId="2" borderId="2" xfId="0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87">
    <dxf>
      <font>
        <color rgb="FF006100"/>
      </font>
    </dxf>
    <dxf>
      <font>
        <b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</dxf>
    <dxf>
      <font>
        <color rgb="FF3F3F3F"/>
      </font>
      <fill>
        <patternFill>
          <bgColor rgb="FFD9D9D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(6TRAO26787NEG)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'6TRAO26787NEG'!$AY$5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'6TRAO26787NEG'!$AX$6:$AX$35</c:f>
              <c:strCache>
                <c:ptCount val="30"/>
                <c:pt idx="0">
                  <c:v>1. Segunda tanda de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'6TRAO26787NEG'!$AY$6:$AY$35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46156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46209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46206</c:v>
                </c:pt>
                <c:pt idx="22">
                  <c:v>46144</c:v>
                </c:pt>
                <c:pt idx="23">
                  <c:v>46210</c:v>
                </c:pt>
                <c:pt idx="24">
                  <c:v>46159</c:v>
                </c:pt>
                <c:pt idx="25">
                  <c:v>46215</c:v>
                </c:pt>
                <c:pt idx="26">
                  <c:v>46194</c:v>
                </c:pt>
                <c:pt idx="27">
                  <c:v>46244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41AB-9DB8-4E08FD607D03}"/>
            </c:ext>
          </c:extLst>
        </c:ser>
        <c:ser>
          <c:idx val="1"/>
          <c:order val="1"/>
          <c:tx>
            <c:strRef>
              <c:f>'6TRAO26787NEG'!$AZ$5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'6TRAO26787NEG'!$AX$6:$AX$35</c:f>
              <c:strCache>
                <c:ptCount val="30"/>
                <c:pt idx="0">
                  <c:v>1. Segunda tanda de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'6TRAO26787NEG'!$AZ$6:$AZ$35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5-41AB-9DB8-4E08FD607D03}"/>
            </c:ext>
          </c:extLst>
        </c:ser>
        <c:ser>
          <c:idx val="2"/>
          <c:order val="2"/>
          <c:tx>
            <c:strRef>
              <c:f>'6TRAO26787NEG'!$BA$5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'6TRAO26787NEG'!$AX$6:$AX$35</c:f>
              <c:strCache>
                <c:ptCount val="30"/>
                <c:pt idx="0">
                  <c:v>1. Segunda tanda de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'6TRAO26787NEG'!$BA$6:$BA$35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44</c:v>
                </c:pt>
                <c:pt idx="14">
                  <c:v>0</c:v>
                </c:pt>
                <c:pt idx="15">
                  <c:v>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85-41AB-9DB8-4E08FD607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431756"/>
        <c:axId val="22316213"/>
      </c:barChart>
      <c:catAx>
        <c:axId val="164317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2316213"/>
        <c:crosses val="autoZero"/>
        <c:auto val="1"/>
        <c:lblAlgn val="ctr"/>
        <c:lblOffset val="100"/>
        <c:noMultiLvlLbl val="0"/>
      </c:catAx>
      <c:valAx>
        <c:axId val="22316213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1643175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BEIGE (6TRAO26787BEI)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'6TRAO26787BEI'!$AY$5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'6TRAO26787BEI'!$AX$6:$AX$35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'6TRAO26787BEI'!$AY$6:$AY$35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46156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46209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46206</c:v>
                </c:pt>
                <c:pt idx="22">
                  <c:v>46144</c:v>
                </c:pt>
                <c:pt idx="23">
                  <c:v>46210</c:v>
                </c:pt>
                <c:pt idx="24">
                  <c:v>46159</c:v>
                </c:pt>
                <c:pt idx="25">
                  <c:v>46215</c:v>
                </c:pt>
                <c:pt idx="26">
                  <c:v>46194</c:v>
                </c:pt>
                <c:pt idx="27">
                  <c:v>46244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F-4C83-AE79-57D02114BDE8}"/>
            </c:ext>
          </c:extLst>
        </c:ser>
        <c:ser>
          <c:idx val="1"/>
          <c:order val="1"/>
          <c:tx>
            <c:strRef>
              <c:f>'6TRAO26787BEI'!$AZ$5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'6TRAO26787BEI'!$AX$6:$AX$35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'6TRAO26787BEI'!$AZ$6:$AZ$35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F-4C83-AE79-57D02114BDE8}"/>
            </c:ext>
          </c:extLst>
        </c:ser>
        <c:ser>
          <c:idx val="2"/>
          <c:order val="2"/>
          <c:tx>
            <c:strRef>
              <c:f>'6TRAO26787BEI'!$BA$5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'6TRAO26787BEI'!$AX$6:$AX$35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'6TRAO26787BEI'!$BA$6:$BA$35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44</c:v>
                </c:pt>
                <c:pt idx="14">
                  <c:v>0</c:v>
                </c:pt>
                <c:pt idx="15">
                  <c:v>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DF-4C83-AE79-57D02114B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7797001"/>
        <c:axId val="74461265"/>
      </c:barChart>
      <c:catAx>
        <c:axId val="777970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4461265"/>
        <c:crosses val="autoZero"/>
        <c:auto val="1"/>
        <c:lblAlgn val="ctr"/>
        <c:lblOffset val="100"/>
        <c:noMultiLvlLbl val="0"/>
      </c:catAx>
      <c:valAx>
        <c:axId val="74461265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779700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— BLACK (6TRAO26788NEG)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'6TRAO26788NEG'!$AY$5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'6TRAO26788NEG'!$AX$6:$AX$35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'6TRAO26788NEG'!$AY$6:$AY$35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46156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46209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46206</c:v>
                </c:pt>
                <c:pt idx="22">
                  <c:v>46144</c:v>
                </c:pt>
                <c:pt idx="23">
                  <c:v>46210</c:v>
                </c:pt>
                <c:pt idx="24">
                  <c:v>46159</c:v>
                </c:pt>
                <c:pt idx="25">
                  <c:v>46215</c:v>
                </c:pt>
                <c:pt idx="26">
                  <c:v>46194</c:v>
                </c:pt>
                <c:pt idx="27">
                  <c:v>46244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9-4658-8CD4-F30E329C87AC}"/>
            </c:ext>
          </c:extLst>
        </c:ser>
        <c:ser>
          <c:idx val="1"/>
          <c:order val="1"/>
          <c:tx>
            <c:strRef>
              <c:f>'6TRAO26788NEG'!$AZ$5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'6TRAO26788NEG'!$AX$6:$AX$35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'6TRAO26788NEG'!$AZ$6:$AZ$35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89-4658-8CD4-F30E329C87AC}"/>
            </c:ext>
          </c:extLst>
        </c:ser>
        <c:ser>
          <c:idx val="2"/>
          <c:order val="2"/>
          <c:tx>
            <c:strRef>
              <c:f>'6TRAO26788NEG'!$BA$5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'6TRAO26788NEG'!$AX$6:$AX$35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'6TRAO26788NEG'!$BA$6:$BA$35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44</c:v>
                </c:pt>
                <c:pt idx="14">
                  <c:v>0</c:v>
                </c:pt>
                <c:pt idx="15">
                  <c:v>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89-4658-8CD4-F30E329C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5102304"/>
        <c:axId val="62962147"/>
      </c:barChart>
      <c:catAx>
        <c:axId val="55102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62962147"/>
        <c:crosses val="autoZero"/>
        <c:auto val="1"/>
        <c:lblAlgn val="ctr"/>
        <c:lblOffset val="100"/>
        <c:noMultiLvlLbl val="0"/>
      </c:catAx>
      <c:valAx>
        <c:axId val="62962147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551023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WITH ZIPPER — BLACK (6TRAO26789NEG)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'6TRAO26789NEG'!$AY$5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'6TRAO26789NEG'!$AX$6:$AX$35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'6TRAO26789NEG'!$AY$6:$AY$35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46156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46209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46206</c:v>
                </c:pt>
                <c:pt idx="22">
                  <c:v>46144</c:v>
                </c:pt>
                <c:pt idx="23">
                  <c:v>46210</c:v>
                </c:pt>
                <c:pt idx="24">
                  <c:v>46159</c:v>
                </c:pt>
                <c:pt idx="25">
                  <c:v>46215</c:v>
                </c:pt>
                <c:pt idx="26">
                  <c:v>46194</c:v>
                </c:pt>
                <c:pt idx="27">
                  <c:v>46244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4-4D16-A42D-4903496AEF0A}"/>
            </c:ext>
          </c:extLst>
        </c:ser>
        <c:ser>
          <c:idx val="1"/>
          <c:order val="1"/>
          <c:tx>
            <c:strRef>
              <c:f>'6TRAO26789NEG'!$AZ$5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'6TRAO26789NEG'!$AX$6:$AX$35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'6TRAO26789NEG'!$AZ$6:$AZ$35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4-4D16-A42D-4903496AEF0A}"/>
            </c:ext>
          </c:extLst>
        </c:ser>
        <c:ser>
          <c:idx val="2"/>
          <c:order val="2"/>
          <c:tx>
            <c:strRef>
              <c:f>'6TRAO26789NEG'!$BA$5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'6TRAO26789NEG'!$AX$6:$AX$35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'6TRAO26789NEG'!$BA$6:$BA$35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44</c:v>
                </c:pt>
                <c:pt idx="14">
                  <c:v>0</c:v>
                </c:pt>
                <c:pt idx="15">
                  <c:v>19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74-4D16-A42D-4903496AE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3757443"/>
        <c:axId val="88861935"/>
      </c:barChart>
      <c:catAx>
        <c:axId val="837574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88861935"/>
        <c:crosses val="autoZero"/>
        <c:auto val="1"/>
        <c:lblAlgn val="ctr"/>
        <c:lblOffset val="100"/>
        <c:noMultiLvlLbl val="0"/>
      </c:catAx>
      <c:valAx>
        <c:axId val="88861935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8375744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PASSPORT HOLDER WITH ZIPPER — BEIGE (6TRAO26790BEIGE)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'6TRAO26790BEIGE'!$AY$5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'6TRAO26790BEIGE'!$AX$6:$AX$35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'6TRAO26790BEIGE'!$AY$6:$AY$35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46156</c:v>
                </c:pt>
                <c:pt idx="14">
                  <c:v>46077</c:v>
                </c:pt>
                <c:pt idx="15">
                  <c:v>46202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3-4EB2-889A-B20E5FD04EBB}"/>
            </c:ext>
          </c:extLst>
        </c:ser>
        <c:ser>
          <c:idx val="1"/>
          <c:order val="1"/>
          <c:tx>
            <c:strRef>
              <c:f>'6TRAO26790BEIGE'!$AZ$5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'6TRAO26790BEIGE'!$AX$6:$AX$35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'6TRAO26790BEIGE'!$AZ$6:$AZ$35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3-4EB2-889A-B20E5FD04EBB}"/>
            </c:ext>
          </c:extLst>
        </c:ser>
        <c:ser>
          <c:idx val="2"/>
          <c:order val="2"/>
          <c:tx>
            <c:strRef>
              <c:f>'6TRAO26790BEIGE'!$BA$5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'6TRAO26790BEIGE'!$AX$6:$AX$35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'6TRAO26790BEIGE'!$BA$6:$BA$35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82</c:v>
                </c:pt>
                <c:pt idx="12">
                  <c:v>0</c:v>
                </c:pt>
                <c:pt idx="13">
                  <c:v>67</c:v>
                </c:pt>
                <c:pt idx="14">
                  <c:v>0</c:v>
                </c:pt>
                <c:pt idx="15">
                  <c:v>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3-4EB2-889A-B20E5FD0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5061149"/>
        <c:axId val="50149252"/>
      </c:barChart>
      <c:catAx>
        <c:axId val="3506114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50149252"/>
        <c:crosses val="autoZero"/>
        <c:auto val="1"/>
        <c:lblAlgn val="ctr"/>
        <c:lblOffset val="100"/>
        <c:noMultiLvlLbl val="0"/>
      </c:catAx>
      <c:valAx>
        <c:axId val="50149252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506114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SET 3 MINI ORGANIZERS — BLACK (6TRAO26791NEG)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'6TRAO26791NEG'!$AY$5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'6TRAO26791NEG'!$AX$6:$AX$35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'6TRAO26791NEG'!$AY$6:$AY$35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46174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A-4E7B-9C45-96E1F071EF5B}"/>
            </c:ext>
          </c:extLst>
        </c:ser>
        <c:ser>
          <c:idx val="1"/>
          <c:order val="1"/>
          <c:tx>
            <c:strRef>
              <c:f>'6TRAO26791NEG'!$AZ$5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'6TRAO26791NEG'!$AX$6:$AX$35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'6TRAO26791NEG'!$AZ$6:$AZ$35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A-4E7B-9C45-96E1F071EF5B}"/>
            </c:ext>
          </c:extLst>
        </c:ser>
        <c:ser>
          <c:idx val="2"/>
          <c:order val="2"/>
          <c:tx>
            <c:strRef>
              <c:f>'6TRAO26791NEG'!$BA$5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'6TRAO26791NEG'!$AX$6:$AX$35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'6TRAO26791NEG'!$BA$6:$BA$35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49</c:v>
                </c:pt>
                <c:pt idx="14">
                  <c:v>0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A-4E7B-9C45-96E1F071E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99576491"/>
        <c:axId val="4780954"/>
      </c:barChart>
      <c:catAx>
        <c:axId val="995764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4780954"/>
        <c:crosses val="autoZero"/>
        <c:auto val="1"/>
        <c:lblAlgn val="ctr"/>
        <c:lblOffset val="100"/>
        <c:noMultiLvlLbl val="0"/>
      </c:catAx>
      <c:valAx>
        <c:axId val="4780954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957649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SET 3 TRAVEL ORGANIZERS — BLACK (6TRAO26792NEG)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'6TRAO26792NEG'!$AY$5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'6TRAO26792NEG'!$AX$6:$AX$35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'6TRAO26792NEG'!$AY$6:$AY$35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46174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8-4F29-A701-EB77EF4D7310}"/>
            </c:ext>
          </c:extLst>
        </c:ser>
        <c:ser>
          <c:idx val="1"/>
          <c:order val="1"/>
          <c:tx>
            <c:strRef>
              <c:f>'6TRAO26792NEG'!$AZ$5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'6TRAO26792NEG'!$AX$6:$AX$35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'6TRAO26792NEG'!$AZ$6:$AZ$35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8-4F29-A701-EB77EF4D7310}"/>
            </c:ext>
          </c:extLst>
        </c:ser>
        <c:ser>
          <c:idx val="2"/>
          <c:order val="2"/>
          <c:tx>
            <c:strRef>
              <c:f>'6TRAO26792NEG'!$BA$5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'6TRAO26792NEG'!$AX$6:$AX$35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'6TRAO26792NEG'!$BA$6:$BA$35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49</c:v>
                </c:pt>
                <c:pt idx="14">
                  <c:v>0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A8-4F29-A701-EB77EF4D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1986820"/>
        <c:axId val="31563191"/>
      </c:barChart>
      <c:catAx>
        <c:axId val="419868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1563191"/>
        <c:crosses val="autoZero"/>
        <c:auto val="1"/>
        <c:lblAlgn val="ctr"/>
        <c:lblOffset val="100"/>
        <c:noMultiLvlLbl val="0"/>
      </c:catAx>
      <c:valAx>
        <c:axId val="31563191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419868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COSMETIC CASE - MEDIUM — BLACK (6TRAI26793NEG)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'6TRAI26793NEG'!$AY$5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'6TRAI26793NEG'!$AX$6:$AX$35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'6TRAI26793NEG'!$AY$6:$AY$35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46174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2-4E0E-A4D4-D05DB32E09E2}"/>
            </c:ext>
          </c:extLst>
        </c:ser>
        <c:ser>
          <c:idx val="1"/>
          <c:order val="1"/>
          <c:tx>
            <c:strRef>
              <c:f>'6TRAI26793NEG'!$AZ$5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'6TRAI26793NEG'!$AX$6:$AX$35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'6TRAI26793NEG'!$AZ$6:$AZ$35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2-4E0E-A4D4-D05DB32E09E2}"/>
            </c:ext>
          </c:extLst>
        </c:ser>
        <c:ser>
          <c:idx val="2"/>
          <c:order val="2"/>
          <c:tx>
            <c:strRef>
              <c:f>'6TRAI26793NEG'!$BA$5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'6TRAI26793NEG'!$AX$6:$AX$35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'6TRAI26793NEG'!$BA$6:$BA$35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49</c:v>
                </c:pt>
                <c:pt idx="14">
                  <c:v>0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C2-4E0E-A4D4-D05DB32E0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5121694"/>
        <c:axId val="34161335"/>
      </c:barChart>
      <c:catAx>
        <c:axId val="2512169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4161335"/>
        <c:crosses val="autoZero"/>
        <c:auto val="1"/>
        <c:lblAlgn val="ctr"/>
        <c:lblOffset val="100"/>
        <c:noMultiLvlLbl val="0"/>
      </c:catAx>
      <c:valAx>
        <c:axId val="34161335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512169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TSA LOCK WITH FLEXIBLE CABLE — RED (6TRAI26794ROJ)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'6TRAI26794ROJ'!$AY$5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'6TRAI26794ROJ'!$AX$6:$AX$35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'6TRAI26794ROJ'!$AY$6:$AY$35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46174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3-416C-97D9-060A83378EBF}"/>
            </c:ext>
          </c:extLst>
        </c:ser>
        <c:ser>
          <c:idx val="1"/>
          <c:order val="1"/>
          <c:tx>
            <c:strRef>
              <c:f>'6TRAI26794ROJ'!$AZ$5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'6TRAI26794ROJ'!$AX$6:$AX$35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'6TRAI26794ROJ'!$AZ$6:$AZ$35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3-416C-97D9-060A83378EBF}"/>
            </c:ext>
          </c:extLst>
        </c:ser>
        <c:ser>
          <c:idx val="2"/>
          <c:order val="2"/>
          <c:tx>
            <c:strRef>
              <c:f>'6TRAI26794ROJ'!$BA$5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'6TRAI26794ROJ'!$AX$6:$AX$35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'6TRAI26794ROJ'!$BA$6:$BA$35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49</c:v>
                </c:pt>
                <c:pt idx="14">
                  <c:v>0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3-416C-97D9-060A83378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6777219"/>
        <c:axId val="99360640"/>
      </c:barChart>
      <c:catAx>
        <c:axId val="67772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9360640"/>
        <c:crosses val="autoZero"/>
        <c:auto val="1"/>
        <c:lblAlgn val="ctr"/>
        <c:lblOffset val="100"/>
        <c:noMultiLvlLbl val="0"/>
      </c:catAx>
      <c:valAx>
        <c:axId val="9936064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677721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TRAVEL BOTTLES - SET OF 3 — MULTICOLOR (6TRAI26795MUL)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'6TRAI26795MUL'!$AY$5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'6TRAI26795MUL'!$AX$6:$AX$35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'6TRAI26795MUL'!$AY$6:$AY$35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46174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E-4838-9F46-AF4B748D109B}"/>
            </c:ext>
          </c:extLst>
        </c:ser>
        <c:ser>
          <c:idx val="1"/>
          <c:order val="1"/>
          <c:tx>
            <c:strRef>
              <c:f>'6TRAI26795MUL'!$AZ$5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'6TRAI26795MUL'!$AX$6:$AX$35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'6TRAI26795MUL'!$AZ$6:$AZ$35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E-4838-9F46-AF4B748D109B}"/>
            </c:ext>
          </c:extLst>
        </c:ser>
        <c:ser>
          <c:idx val="2"/>
          <c:order val="2"/>
          <c:tx>
            <c:strRef>
              <c:f>'6TRAI26795MUL'!$BA$5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'6TRAI26795MUL'!$AX$6:$AX$35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'6TRAI26795MUL'!$BA$6:$BA$35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49</c:v>
                </c:pt>
                <c:pt idx="14">
                  <c:v>0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E-4838-9F46-AF4B748D1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67757348"/>
        <c:axId val="87233770"/>
      </c:barChart>
      <c:catAx>
        <c:axId val="677573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87233770"/>
        <c:crosses val="autoZero"/>
        <c:auto val="1"/>
        <c:lblAlgn val="ctr"/>
        <c:lblOffset val="100"/>
        <c:noMultiLvlLbl val="0"/>
      </c:catAx>
      <c:valAx>
        <c:axId val="87233770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6775734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ID TAG — BLACK (6TRAI26796NEG)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'6TRAI26796NEG'!$AY$5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'6TRAI26796NEG'!$AX$6:$AX$35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'6TRAI26796NEG'!$AY$6:$AY$35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46204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F-440A-A9E4-C6E313EBEB4D}"/>
            </c:ext>
          </c:extLst>
        </c:ser>
        <c:ser>
          <c:idx val="1"/>
          <c:order val="1"/>
          <c:tx>
            <c:strRef>
              <c:f>'6TRAI26796NEG'!$AZ$5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'6TRAI26796NEG'!$AX$6:$AX$35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'6TRAI26796NEG'!$AZ$6:$AZ$35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5F-440A-A9E4-C6E313EBEB4D}"/>
            </c:ext>
          </c:extLst>
        </c:ser>
        <c:ser>
          <c:idx val="2"/>
          <c:order val="2"/>
          <c:tx>
            <c:strRef>
              <c:f>'6TRAI26796NEG'!$BA$5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'6TRAI26796NEG'!$AX$6:$AX$35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'6TRAI26796NEG'!$BA$6:$BA$35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19</c:v>
                </c:pt>
                <c:pt idx="14">
                  <c:v>0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5F-440A-A9E4-C6E313EBE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8330689"/>
        <c:axId val="66447861"/>
      </c:barChart>
      <c:catAx>
        <c:axId val="8833068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66447861"/>
        <c:crosses val="autoZero"/>
        <c:auto val="1"/>
        <c:lblAlgn val="ctr"/>
        <c:lblOffset val="100"/>
        <c:noMultiLvlLbl val="0"/>
      </c:catAx>
      <c:valAx>
        <c:axId val="66447861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8833068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ID TAG — LIME (6TRAI26797VER)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'6TRAI26797VER'!$AY$5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'6TRAI26797VER'!$AX$6:$AX$35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'6TRAI26797VER'!$AY$6:$AY$35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46204</c:v>
                </c:pt>
                <c:pt idx="14">
                  <c:v>46077</c:v>
                </c:pt>
                <c:pt idx="15">
                  <c:v>46183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3-4E3E-B974-61F505BFE374}"/>
            </c:ext>
          </c:extLst>
        </c:ser>
        <c:ser>
          <c:idx val="1"/>
          <c:order val="1"/>
          <c:tx>
            <c:strRef>
              <c:f>'6TRAI26797VER'!$AZ$5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'6TRAI26797VER'!$AX$6:$AX$35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'6TRAI26797VER'!$AZ$6:$AZ$35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3-4E3E-B974-61F505BFE374}"/>
            </c:ext>
          </c:extLst>
        </c:ser>
        <c:ser>
          <c:idx val="2"/>
          <c:order val="2"/>
          <c:tx>
            <c:strRef>
              <c:f>'6TRAI26797VER'!$BA$5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'6TRAI26797VER'!$AX$6:$AX$35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'6TRAI26797VER'!$BA$6:$BA$35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74</c:v>
                </c:pt>
                <c:pt idx="12">
                  <c:v>0</c:v>
                </c:pt>
                <c:pt idx="13">
                  <c:v>19</c:v>
                </c:pt>
                <c:pt idx="14">
                  <c:v>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23-4E3E-B974-61F505BFE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3874218"/>
        <c:axId val="31388747"/>
      </c:barChart>
      <c:catAx>
        <c:axId val="7387421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1388747"/>
        <c:crosses val="autoZero"/>
        <c:auto val="1"/>
        <c:lblAlgn val="ctr"/>
        <c:lblOffset val="100"/>
        <c:noMultiLvlLbl val="0"/>
      </c:catAx>
      <c:valAx>
        <c:axId val="31388747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387421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ID TAG — RED (6TRAI26798ROJ)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'6TRAI26798ROJ'!$AY$5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'6TRAI26798ROJ'!$AX$6:$AX$35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'6TRAI26798ROJ'!$AY$6:$AY$35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46204</c:v>
                </c:pt>
                <c:pt idx="14">
                  <c:v>46077</c:v>
                </c:pt>
                <c:pt idx="15">
                  <c:v>46183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0-47B4-8611-98428F30E5A9}"/>
            </c:ext>
          </c:extLst>
        </c:ser>
        <c:ser>
          <c:idx val="1"/>
          <c:order val="1"/>
          <c:tx>
            <c:strRef>
              <c:f>'6TRAI26798ROJ'!$AZ$5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'6TRAI26798ROJ'!$AX$6:$AX$35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'6TRAI26798ROJ'!$AZ$6:$AZ$35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0-47B4-8611-98428F30E5A9}"/>
            </c:ext>
          </c:extLst>
        </c:ser>
        <c:ser>
          <c:idx val="2"/>
          <c:order val="2"/>
          <c:tx>
            <c:strRef>
              <c:f>'6TRAI26798ROJ'!$BA$5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'6TRAI26798ROJ'!$AX$6:$AX$35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'6TRAI26798ROJ'!$BA$6:$BA$35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74</c:v>
                </c:pt>
                <c:pt idx="12">
                  <c:v>0</c:v>
                </c:pt>
                <c:pt idx="13">
                  <c:v>19</c:v>
                </c:pt>
                <c:pt idx="14">
                  <c:v>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B0-47B4-8611-98428F30E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7301373"/>
        <c:axId val="77780659"/>
      </c:barChart>
      <c:catAx>
        <c:axId val="8730137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7780659"/>
        <c:crosses val="autoZero"/>
        <c:auto val="1"/>
        <c:lblAlgn val="ctr"/>
        <c:lblOffset val="100"/>
        <c:noMultiLvlLbl val="0"/>
      </c:catAx>
      <c:valAx>
        <c:axId val="77780659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8730137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TRAVEL NECESSAIR — BLACK (6TRAI26799NEG) — Estimado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'6TRAI26799NEG'!$AY$5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'6TRAI26799NEG'!$AX$6:$AX$35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'6TRAI26799NEG'!$AY$6:$AY$35</c:f>
              <c:numCache>
                <c:formatCode>m/d/yyyy</c:formatCode>
                <c:ptCount val="30"/>
                <c:pt idx="0">
                  <c:v>46014</c:v>
                </c:pt>
                <c:pt idx="1">
                  <c:v>46014</c:v>
                </c:pt>
                <c:pt idx="2">
                  <c:v>46044</c:v>
                </c:pt>
                <c:pt idx="3">
                  <c:v>46064</c:v>
                </c:pt>
                <c:pt idx="4">
                  <c:v>46054</c:v>
                </c:pt>
                <c:pt idx="5">
                  <c:v>46054</c:v>
                </c:pt>
                <c:pt idx="6">
                  <c:v>46054</c:v>
                </c:pt>
                <c:pt idx="7">
                  <c:v>46091</c:v>
                </c:pt>
                <c:pt idx="8">
                  <c:v>46066</c:v>
                </c:pt>
                <c:pt idx="9">
                  <c:v>46104</c:v>
                </c:pt>
                <c:pt idx="10">
                  <c:v>46070</c:v>
                </c:pt>
                <c:pt idx="11">
                  <c:v>46108</c:v>
                </c:pt>
                <c:pt idx="12">
                  <c:v>46077</c:v>
                </c:pt>
                <c:pt idx="13">
                  <c:v>46174</c:v>
                </c:pt>
                <c:pt idx="14">
                  <c:v>46077</c:v>
                </c:pt>
                <c:pt idx="15">
                  <c:v>46181</c:v>
                </c:pt>
                <c:pt idx="16">
                  <c:v>46077</c:v>
                </c:pt>
                <c:pt idx="17">
                  <c:v>46077</c:v>
                </c:pt>
                <c:pt idx="18">
                  <c:v>46077</c:v>
                </c:pt>
                <c:pt idx="19">
                  <c:v>46077</c:v>
                </c:pt>
                <c:pt idx="20">
                  <c:v>46137</c:v>
                </c:pt>
                <c:pt idx="21">
                  <c:v>46223</c:v>
                </c:pt>
                <c:pt idx="22">
                  <c:v>46144</c:v>
                </c:pt>
                <c:pt idx="23">
                  <c:v>46230</c:v>
                </c:pt>
                <c:pt idx="24">
                  <c:v>46159</c:v>
                </c:pt>
                <c:pt idx="25">
                  <c:v>46235</c:v>
                </c:pt>
                <c:pt idx="26">
                  <c:v>46194</c:v>
                </c:pt>
                <c:pt idx="27">
                  <c:v>46266</c:v>
                </c:pt>
                <c:pt idx="28">
                  <c:v>46204</c:v>
                </c:pt>
                <c:pt idx="29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9-4A99-B88C-CF1716C71A8B}"/>
            </c:ext>
          </c:extLst>
        </c:ser>
        <c:ser>
          <c:idx val="1"/>
          <c:order val="1"/>
          <c:tx>
            <c:strRef>
              <c:f>'6TRAI26799NEG'!$AZ$5</c:f>
              <c:strCache>
                <c:ptCount val="1"/>
                <c:pt idx="0">
                  <c:v>Estimado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'6TRAI26799NEG'!$AX$6:$AX$35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'6TRAI26799NEG'!$AZ$6:$AZ$35</c:f>
              <c:numCache>
                <c:formatCode>General</c:formatCode>
                <c:ptCount val="30"/>
                <c:pt idx="0">
                  <c:v>30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12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60</c:v>
                </c:pt>
                <c:pt idx="13">
                  <c:v>0</c:v>
                </c:pt>
                <c:pt idx="14">
                  <c:v>30</c:v>
                </c:pt>
                <c:pt idx="15">
                  <c:v>0</c:v>
                </c:pt>
                <c:pt idx="16">
                  <c:v>45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15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10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39-4A99-B88C-CF1716C71A8B}"/>
            </c:ext>
          </c:extLst>
        </c:ser>
        <c:ser>
          <c:idx val="2"/>
          <c:order val="2"/>
          <c:tx>
            <c:strRef>
              <c:f>'6TRAI26799NEG'!$BA$5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'6TRAI26799NEG'!$AX$6:$AX$35</c:f>
              <c:strCache>
                <c:ptCount val="30"/>
                <c:pt idx="0">
                  <c:v>1. Muestras finalizadas en China</c:v>
                </c:pt>
                <c:pt idx="1">
                  <c:v>     1 · real</c:v>
                </c:pt>
                <c:pt idx="2">
                  <c:v>2. Courier a Mexico</c:v>
                </c:pt>
                <c:pt idx="3">
                  <c:v>     2 · real</c:v>
                </c:pt>
                <c:pt idx="4">
                  <c:v>3. DEADLINE aprobación Cloé (confirmación muestra final)</c:v>
                </c:pt>
                <c:pt idx="5">
                  <c:v>     3 · real</c:v>
                </c:pt>
                <c:pt idx="6">
                  <c:v>4. Reunión con Comité y entrega de muestras</c:v>
                </c:pt>
                <c:pt idx="7">
                  <c:v>     4 · real</c:v>
                </c:pt>
                <c:pt idx="8">
                  <c:v>5. Confirmación de muestras y packaging</c:v>
                </c:pt>
                <c:pt idx="9">
                  <c:v>     5 · real</c:v>
                </c:pt>
                <c:pt idx="10">
                  <c:v>6. Master Cloé (modelo &amp; upc)</c:v>
                </c:pt>
                <c:pt idx="11">
                  <c:v>     6 · real</c:v>
                </c:pt>
                <c:pt idx="12">
                  <c:v>7. Producción de producto</c:v>
                </c:pt>
                <c:pt idx="13">
                  <c:v>     7 · real</c:v>
                </c:pt>
                <c:pt idx="14">
                  <c:v>8. Producción de packaging</c:v>
                </c:pt>
                <c:pt idx="15">
                  <c:v>     8 · real</c:v>
                </c:pt>
                <c:pt idx="16">
                  <c:v>9. Muestras de producción a México (fotografía)</c:v>
                </c:pt>
                <c:pt idx="17">
                  <c:v>     9 · real</c:v>
                </c:pt>
                <c:pt idx="18">
                  <c:v>10. Gestión proveedores Cloé</c:v>
                </c:pt>
                <c:pt idx="19">
                  <c:v>     10 · real</c:v>
                </c:pt>
                <c:pt idx="20">
                  <c:v>11. Inspección</c:v>
                </c:pt>
                <c:pt idx="21">
                  <c:v>     11 · real</c:v>
                </c:pt>
                <c:pt idx="22">
                  <c:v>12. Orden terminada + CUT OFF + tiempos puerto</c:v>
                </c:pt>
                <c:pt idx="23">
                  <c:v>     12 · real</c:v>
                </c:pt>
                <c:pt idx="24">
                  <c:v>13. Tránsito marítimo</c:v>
                </c:pt>
                <c:pt idx="25">
                  <c:v>     13 · real</c:v>
                </c:pt>
                <c:pt idx="26">
                  <c:v>14. Aduana México</c:v>
                </c:pt>
                <c:pt idx="27">
                  <c:v>     14 · real</c:v>
                </c:pt>
                <c:pt idx="28">
                  <c:v>15. Lanzamiento</c:v>
                </c:pt>
                <c:pt idx="29">
                  <c:v>     15 · real</c:v>
                </c:pt>
              </c:strCache>
            </c:strRef>
          </c:cat>
          <c:val>
            <c:numRef>
              <c:f>'6TRAI26799NEG'!$BA$6:$BA$35</c:f>
              <c:numCache>
                <c:formatCode>General</c:formatCode>
                <c:ptCount val="3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56</c:v>
                </c:pt>
                <c:pt idx="12">
                  <c:v>0</c:v>
                </c:pt>
                <c:pt idx="13">
                  <c:v>49</c:v>
                </c:pt>
                <c:pt idx="14">
                  <c:v>0</c:v>
                </c:pt>
                <c:pt idx="15">
                  <c:v>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7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31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39-4A99-B88C-CF1716C7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92473201"/>
        <c:axId val="85343275"/>
      </c:barChart>
      <c:catAx>
        <c:axId val="924732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85343275"/>
        <c:crosses val="autoZero"/>
        <c:auto val="1"/>
        <c:lblAlgn val="ctr"/>
        <c:lblOffset val="100"/>
        <c:noMultiLvlLbl val="0"/>
      </c:catAx>
      <c:valAx>
        <c:axId val="85343275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247320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386772</xdr:colOff>
      <xdr:row>3</xdr:row>
      <xdr:rowOff>121227</xdr:rowOff>
    </xdr:from>
    <xdr:to>
      <xdr:col>43</xdr:col>
      <xdr:colOff>89265</xdr:colOff>
      <xdr:row>35</xdr:row>
      <xdr:rowOff>123116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69350</xdr:colOff>
      <xdr:row>35</xdr:row>
      <xdr:rowOff>1889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66175</xdr:colOff>
      <xdr:row>35</xdr:row>
      <xdr:rowOff>2351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66175</xdr:colOff>
      <xdr:row>35</xdr:row>
      <xdr:rowOff>2351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66175</xdr:colOff>
      <xdr:row>35</xdr:row>
      <xdr:rowOff>2351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2351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9278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2351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2351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2351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2351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2351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63000</xdr:colOff>
      <xdr:row>35</xdr:row>
      <xdr:rowOff>2351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43</xdr:col>
      <xdr:colOff>62999</xdr:colOff>
      <xdr:row>35</xdr:row>
      <xdr:rowOff>2351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a" id="{7B46C2ED-3D4D-4464-AA78-21554CC4811D}" userId="S::martina@travel-blue.com::4d50124b-acc3-4774-927a-bfb10190609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56197BF5-33CB-4EBF-9C7A-9511D53AE7DE}">
    <text>Fueron detenidos por Aduana, se enviaron nuevamente el 06/03/2026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CF1D9C69-5863-4728-8570-71DC1698DD4D}">
    <text>Fueron detenidos por Aduana, se enviaron nuevamente el 06/03/2026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BA477E59-8C72-4C2D-B577-7C9A0FF37D0D}">
    <text>Fueron detenidos por Aduana, se enviaron nuevamente el 06/03/2026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37AFEEAA-9E79-453F-91A5-E0753FB8D8A1}">
    <text>Fueron detenidos por Aduana, se enviaron nuevamente el 06/03/2026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E2243723-653E-41A8-A54E-34E1053D171F}">
    <text>Fueron detenidos por Aduana, se enviaron nuevamente el 06/03/2026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BAE8A2DA-D17D-46B9-AAEF-299068FBFE3C}">
    <text>Fueron detenidos por Aduana, se enviaron nuevamente el 06/03/2026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D12C079D-1F13-4839-8478-B8D24B882FA5}">
    <text>Fueron detenidos por Aduana, se enviaron nuevamente el 06/03/2026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9D95CB31-DD5A-4013-9504-16069ADDF647}">
    <text>Fueron detenidos por Aduana, se enviaron nuevamente el 06/03/2026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F322CBDD-F777-456B-9CF6-200B62F3A1EA}">
    <text>Fueron detenidos por Aduana, se enviaron nuevamente el 06/03/2026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11EF4ADF-4591-4611-AC28-A87AEBFA670B}">
    <text>Fueron detenidos por Aduana, se enviaron nuevamente el 06/03/2026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DA285CA5-34E1-4397-8FE4-914902A6FDE7}">
    <text>Fueron detenidos por Aduana, se enviaron nuevamente el 06/03/2026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1040637B-05C3-4FFA-AEB3-DD2FEB4BC763}">
    <text>Fueron detenidos por Aduana, se enviaron nuevamente el 06/03/2026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50438469-4436-4FD8-A64A-42B85E9C6025}">
    <text>Fueron detenidos por Aduana, se enviaron nuevamente el 06/03/2026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I7" dT="2026-06-18T12:59:07.71" personId="{7B46C2ED-3D4D-4464-AA78-21554CC4811D}" id="{CF129D97-E063-4A35-B662-7BEDD8A9E978}">
    <text>Fueron detenidos por Aduana, se enviaron nuevamente el 06/03/2026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7E773F-6BDF-455A-BA9F-A014F53C2F0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132d59-77dd-4a04-830e-549d40af59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5"/>
  <sheetViews>
    <sheetView showGridLines="0" tabSelected="1" topLeftCell="B5" zoomScale="110" zoomScaleNormal="110" workbookViewId="0">
      <selection activeCell="L21" sqref="L21"/>
    </sheetView>
  </sheetViews>
  <sheetFormatPr defaultColWidth="8.54296875" defaultRowHeight="14.5" x14ac:dyDescent="0.35"/>
  <cols>
    <col min="1" max="1" width="4.453125" customWidth="1"/>
    <col min="2" max="2" width="48.54296875" bestFit="1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18.7265625" customWidth="1"/>
    <col min="14" max="14" width="8.6328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46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16" t="s">
        <v>52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14">
        <v>1</v>
      </c>
      <c r="B6" s="6" t="s">
        <v>47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7">
        <f t="shared" ref="L6:L20" si="2">IF($J6="","",$J6-$G6)</f>
        <v>15</v>
      </c>
      <c r="M6" s="17"/>
      <c r="AX6" t="str">
        <f>A6&amp;". "&amp;B6</f>
        <v>1. Segunda tanda de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14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7">
        <f t="shared" si="2"/>
        <v>37</v>
      </c>
      <c r="M7" s="17"/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14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7">
        <f t="shared" si="2"/>
        <v>45</v>
      </c>
      <c r="M8" s="17"/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14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7">
        <f t="shared" si="2"/>
        <v>38</v>
      </c>
      <c r="M9" s="17"/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14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7">
        <f t="shared" si="2"/>
        <v>38</v>
      </c>
      <c r="M10" s="17"/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14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7">
        <f t="shared" si="2"/>
        <v>87</v>
      </c>
      <c r="M11" s="17"/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14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48</v>
      </c>
      <c r="I12" s="10">
        <v>46156</v>
      </c>
      <c r="J12" s="10">
        <v>46200</v>
      </c>
      <c r="K12" s="11">
        <f t="shared" si="1"/>
        <v>44</v>
      </c>
      <c r="L12" s="17">
        <f t="shared" si="2"/>
        <v>63</v>
      </c>
      <c r="M12" s="17"/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14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48</v>
      </c>
      <c r="I13" s="10">
        <v>46181</v>
      </c>
      <c r="J13" s="10">
        <v>46200</v>
      </c>
      <c r="K13" s="11">
        <f t="shared" si="1"/>
        <v>19</v>
      </c>
      <c r="L13" s="17">
        <f t="shared" si="2"/>
        <v>93</v>
      </c>
      <c r="M13" s="17"/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49</v>
      </c>
      <c r="I14" s="10">
        <v>46209</v>
      </c>
      <c r="J14" s="10"/>
      <c r="K14" s="11" t="str">
        <f t="shared" si="1"/>
        <v/>
      </c>
      <c r="L14" s="17" t="str">
        <f t="shared" si="2"/>
        <v/>
      </c>
      <c r="M14" s="17"/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7" t="str">
        <f t="shared" si="2"/>
        <v/>
      </c>
      <c r="M15" s="17"/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49</v>
      </c>
      <c r="I16" s="10">
        <v>46206</v>
      </c>
      <c r="J16" s="10">
        <v>46210</v>
      </c>
      <c r="K16" s="11">
        <f>IF(OR($I16="",$J16=""),"",$J16-$I16)</f>
        <v>4</v>
      </c>
      <c r="L16" s="17">
        <f>IF($J16="","",$J16-$G16)</f>
        <v>66</v>
      </c>
      <c r="M16" s="17"/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46210</v>
      </c>
      <c r="J17" s="10">
        <v>46213</v>
      </c>
      <c r="K17" s="11">
        <f t="shared" si="1"/>
        <v>3</v>
      </c>
      <c r="L17" s="17">
        <f t="shared" si="2"/>
        <v>54</v>
      </c>
      <c r="M17" s="17"/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46215</v>
      </c>
      <c r="J18" s="10">
        <v>46244</v>
      </c>
      <c r="K18" s="11">
        <f t="shared" si="1"/>
        <v>29</v>
      </c>
      <c r="L18" s="17">
        <f t="shared" si="2"/>
        <v>50</v>
      </c>
      <c r="M18" s="17"/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46244</v>
      </c>
      <c r="J19" s="10">
        <v>46251</v>
      </c>
      <c r="K19" s="11">
        <f t="shared" si="1"/>
        <v>7</v>
      </c>
      <c r="L19" s="17">
        <f t="shared" si="2"/>
        <v>47</v>
      </c>
      <c r="M19" s="17"/>
      <c r="AX19" t="str">
        <f>"     "&amp;A12&amp;" · real"</f>
        <v xml:space="preserve">     7 · real</v>
      </c>
      <c r="AY19" s="13">
        <f>IF($I12="",$F12,$I12)</f>
        <v>46156</v>
      </c>
      <c r="AZ19">
        <v>0</v>
      </c>
      <c r="BA19">
        <f>IF($K12="",0,$K12)</f>
        <v>44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46266</v>
      </c>
      <c r="K20" s="11" t="str">
        <f t="shared" si="1"/>
        <v/>
      </c>
      <c r="L20" s="17">
        <f t="shared" si="2"/>
        <v>61</v>
      </c>
      <c r="M20" s="17"/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19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46209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46206</v>
      </c>
      <c r="AZ27">
        <v>0</v>
      </c>
      <c r="BA27">
        <f>IF($K16="",0,$K16)</f>
        <v>4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46210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46215</v>
      </c>
      <c r="AZ31">
        <v>0</v>
      </c>
      <c r="BA31">
        <f>IF($K18="",0,$K18)</f>
        <v>29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46244</v>
      </c>
      <c r="AZ33">
        <v>0</v>
      </c>
      <c r="BA33">
        <f>IF($K19="",0,$K19)</f>
        <v>7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86" priority="5">
      <formula>AND($H6&lt;&gt;"Completada",$G6&lt;&gt;"",$G6&lt;TODAY())</formula>
    </cfRule>
  </conditionalFormatting>
  <conditionalFormatting sqref="H6:H20">
    <cfRule type="expression" dxfId="85" priority="6">
      <formula>$H6="Completada"</formula>
    </cfRule>
    <cfRule type="expression" dxfId="84" priority="7">
      <formula>$H6="En curso"</formula>
    </cfRule>
    <cfRule type="expression" dxfId="83" priority="8">
      <formula>$H6="Pendiente"</formula>
    </cfRule>
  </conditionalFormatting>
  <conditionalFormatting sqref="L6:L20">
    <cfRule type="cellIs" dxfId="82" priority="9" operator="greaterThan">
      <formula>0</formula>
    </cfRule>
    <cfRule type="cellIs" dxfId="81" priority="10" operator="lessThan">
      <formula>0</formula>
    </cfRule>
  </conditionalFormatting>
  <conditionalFormatting sqref="M6:M20">
    <cfRule type="expression" dxfId="2" priority="1">
      <formula>AND($H6&lt;&gt;"Completada",$G6&lt;&gt;"",$G6&lt;TODAY())</formula>
    </cfRule>
  </conditionalFormatting>
  <conditionalFormatting sqref="M6:M20"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1">
    <dataValidation type="list" allowBlank="1" sqref="H6:H20" xr:uid="{00000000-0002-0000-0000-000000000000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5"/>
  <sheetViews>
    <sheetView showGridLines="0" topLeftCell="A3" zoomScale="110" zoomScaleNormal="110" workbookViewId="0">
      <selection activeCell="I14" sqref="I14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50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14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14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14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14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14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14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14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48</v>
      </c>
      <c r="I12" s="10">
        <v>46156</v>
      </c>
      <c r="J12" s="10">
        <v>46200</v>
      </c>
      <c r="K12" s="11">
        <f t="shared" si="1"/>
        <v>44</v>
      </c>
      <c r="L12" s="12">
        <f t="shared" si="2"/>
        <v>63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14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48</v>
      </c>
      <c r="I13" s="10">
        <v>46181</v>
      </c>
      <c r="J13" s="10">
        <v>46200</v>
      </c>
      <c r="K13" s="11">
        <f t="shared" si="1"/>
        <v>19</v>
      </c>
      <c r="L13" s="12">
        <f t="shared" si="2"/>
        <v>93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49</v>
      </c>
      <c r="I14" s="10">
        <v>46209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49</v>
      </c>
      <c r="I16" s="10">
        <v>46206</v>
      </c>
      <c r="J16" s="10">
        <v>46210</v>
      </c>
      <c r="K16" s="11">
        <f t="shared" si="1"/>
        <v>4</v>
      </c>
      <c r="L16" s="12">
        <f t="shared" si="2"/>
        <v>66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46210</v>
      </c>
      <c r="J17" s="10">
        <v>46213</v>
      </c>
      <c r="K17" s="11">
        <f t="shared" si="1"/>
        <v>3</v>
      </c>
      <c r="L17" s="12">
        <f t="shared" si="2"/>
        <v>54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46215</v>
      </c>
      <c r="J18" s="10">
        <v>46244</v>
      </c>
      <c r="K18" s="11">
        <f t="shared" si="1"/>
        <v>29</v>
      </c>
      <c r="L18" s="12">
        <f t="shared" si="2"/>
        <v>50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46244</v>
      </c>
      <c r="J19" s="10">
        <v>46251</v>
      </c>
      <c r="K19" s="11">
        <f t="shared" si="1"/>
        <v>7</v>
      </c>
      <c r="L19" s="12">
        <f t="shared" si="2"/>
        <v>47</v>
      </c>
      <c r="AX19" t="str">
        <f>"     "&amp;A12&amp;" · real"</f>
        <v xml:space="preserve">     7 · real</v>
      </c>
      <c r="AY19" s="13">
        <f>IF($I12="",$F12,$I12)</f>
        <v>46156</v>
      </c>
      <c r="AZ19">
        <v>0</v>
      </c>
      <c r="BA19">
        <f>IF($K12="",0,$K12)</f>
        <v>44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46266</v>
      </c>
      <c r="K20" s="11" t="str">
        <f t="shared" si="1"/>
        <v/>
      </c>
      <c r="L20" s="12">
        <f t="shared" si="2"/>
        <v>61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19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46209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46206</v>
      </c>
      <c r="AZ27">
        <v>0</v>
      </c>
      <c r="BA27">
        <f>IF($K16="",0,$K16)</f>
        <v>4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46210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46215</v>
      </c>
      <c r="AZ31">
        <v>0</v>
      </c>
      <c r="BA31">
        <f>IF($K18="",0,$K18)</f>
        <v>29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46244</v>
      </c>
      <c r="AZ33">
        <v>0</v>
      </c>
      <c r="BA33">
        <f>IF($K19="",0,$K19)</f>
        <v>7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80" priority="1">
      <formula>AND($H6&lt;&gt;"Completada",$G6&lt;&gt;"",$G6&lt;TODAY())</formula>
    </cfRule>
  </conditionalFormatting>
  <conditionalFormatting sqref="H6:H20">
    <cfRule type="expression" dxfId="79" priority="3">
      <formula>$H6="Completada"</formula>
    </cfRule>
    <cfRule type="expression" dxfId="78" priority="4">
      <formula>$H6="En curso"</formula>
    </cfRule>
    <cfRule type="expression" dxfId="77" priority="5">
      <formula>$H6="Pendiente"</formula>
    </cfRule>
  </conditionalFormatting>
  <conditionalFormatting sqref="L6:L20">
    <cfRule type="cellIs" dxfId="76" priority="15" operator="greaterThan">
      <formula>0</formula>
    </cfRule>
    <cfRule type="cellIs" dxfId="75" priority="16" operator="lessThan">
      <formula>0</formula>
    </cfRule>
  </conditionalFormatting>
  <dataValidations count="1">
    <dataValidation type="list" allowBlank="1" sqref="H6:H20" xr:uid="{A98E0A08-96C0-46EA-B3F8-2989C67BBB5F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35"/>
  <sheetViews>
    <sheetView showGridLines="0" topLeftCell="A3" zoomScale="110" zoomScaleNormal="110" workbookViewId="0">
      <selection activeCell="I14" sqref="I14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51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14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14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14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14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14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14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14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48</v>
      </c>
      <c r="I12" s="10">
        <v>46156</v>
      </c>
      <c r="J12" s="10">
        <v>46200</v>
      </c>
      <c r="K12" s="11">
        <f t="shared" si="1"/>
        <v>44</v>
      </c>
      <c r="L12" s="12">
        <f t="shared" si="2"/>
        <v>63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14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48</v>
      </c>
      <c r="I13" s="10">
        <v>46181</v>
      </c>
      <c r="J13" s="10">
        <v>46200</v>
      </c>
      <c r="K13" s="11">
        <f t="shared" si="1"/>
        <v>19</v>
      </c>
      <c r="L13" s="12">
        <f t="shared" si="2"/>
        <v>93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49</v>
      </c>
      <c r="I14" s="10">
        <v>46209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49</v>
      </c>
      <c r="I16" s="10">
        <v>46206</v>
      </c>
      <c r="J16" s="10">
        <v>46210</v>
      </c>
      <c r="K16" s="11">
        <f t="shared" si="1"/>
        <v>4</v>
      </c>
      <c r="L16" s="12">
        <f t="shared" si="2"/>
        <v>66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46210</v>
      </c>
      <c r="J17" s="10">
        <v>46213</v>
      </c>
      <c r="K17" s="11">
        <f t="shared" si="1"/>
        <v>3</v>
      </c>
      <c r="L17" s="12">
        <f t="shared" si="2"/>
        <v>54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46215</v>
      </c>
      <c r="J18" s="10">
        <v>46244</v>
      </c>
      <c r="K18" s="11">
        <f t="shared" si="1"/>
        <v>29</v>
      </c>
      <c r="L18" s="12">
        <f t="shared" si="2"/>
        <v>50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46244</v>
      </c>
      <c r="J19" s="10">
        <v>46251</v>
      </c>
      <c r="K19" s="11">
        <f t="shared" si="1"/>
        <v>7</v>
      </c>
      <c r="L19" s="12">
        <f t="shared" si="2"/>
        <v>47</v>
      </c>
      <c r="AX19" t="str">
        <f>"     "&amp;A12&amp;" · real"</f>
        <v xml:space="preserve">     7 · real</v>
      </c>
      <c r="AY19" s="13">
        <f>IF($I12="",$F12,$I12)</f>
        <v>46156</v>
      </c>
      <c r="AZ19">
        <v>0</v>
      </c>
      <c r="BA19">
        <f>IF($K12="",0,$K12)</f>
        <v>44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46266</v>
      </c>
      <c r="K20" s="11" t="str">
        <f t="shared" si="1"/>
        <v/>
      </c>
      <c r="L20" s="12">
        <f t="shared" si="2"/>
        <v>61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19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46209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46206</v>
      </c>
      <c r="AZ27">
        <v>0</v>
      </c>
      <c r="BA27">
        <f>IF($K16="",0,$K16)</f>
        <v>4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46210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46215</v>
      </c>
      <c r="AZ31">
        <v>0</v>
      </c>
      <c r="BA31">
        <f>IF($K18="",0,$K18)</f>
        <v>29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46244</v>
      </c>
      <c r="AZ33">
        <v>0</v>
      </c>
      <c r="BA33">
        <f>IF($K19="",0,$K19)</f>
        <v>7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74" priority="1">
      <formula>AND($H6&lt;&gt;"Completada",$G6&lt;&gt;"",$G6&lt;TODAY())</formula>
    </cfRule>
  </conditionalFormatting>
  <conditionalFormatting sqref="H6:H20">
    <cfRule type="expression" dxfId="73" priority="3">
      <formula>$H6="Completada"</formula>
    </cfRule>
    <cfRule type="expression" dxfId="72" priority="4">
      <formula>$H6="En curso"</formula>
    </cfRule>
    <cfRule type="expression" dxfId="71" priority="5">
      <formula>$H6="Pendiente"</formula>
    </cfRule>
  </conditionalFormatting>
  <conditionalFormatting sqref="L6:L20">
    <cfRule type="cellIs" dxfId="70" priority="15" operator="greaterThan">
      <formula>0</formula>
    </cfRule>
    <cfRule type="cellIs" dxfId="69" priority="16" operator="lessThan">
      <formula>0</formula>
    </cfRule>
  </conditionalFormatting>
  <dataValidations count="1">
    <dataValidation type="list" allowBlank="1" sqref="H6:H20" xr:uid="{3C2D113A-C0BA-4EB0-B912-77A39E8FB67C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35"/>
  <sheetViews>
    <sheetView showGridLines="0" zoomScale="110" zoomScaleNormal="110" workbookViewId="0">
      <selection activeCell="I14" sqref="I14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35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14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14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14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14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14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14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14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48</v>
      </c>
      <c r="I12" s="10">
        <v>46156</v>
      </c>
      <c r="J12" s="10">
        <v>46200</v>
      </c>
      <c r="K12" s="11">
        <f t="shared" si="1"/>
        <v>44</v>
      </c>
      <c r="L12" s="12">
        <f t="shared" si="2"/>
        <v>63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14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48</v>
      </c>
      <c r="I13" s="10">
        <v>46181</v>
      </c>
      <c r="J13" s="10">
        <v>46200</v>
      </c>
      <c r="K13" s="11">
        <f t="shared" si="1"/>
        <v>19</v>
      </c>
      <c r="L13" s="12">
        <f t="shared" si="2"/>
        <v>93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49</v>
      </c>
      <c r="I14" s="10">
        <v>46209</v>
      </c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49</v>
      </c>
      <c r="I16" s="10">
        <v>46206</v>
      </c>
      <c r="J16" s="10">
        <v>46210</v>
      </c>
      <c r="K16" s="11">
        <f t="shared" si="1"/>
        <v>4</v>
      </c>
      <c r="L16" s="12">
        <f t="shared" si="2"/>
        <v>66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46210</v>
      </c>
      <c r="J17" s="10">
        <v>46213</v>
      </c>
      <c r="K17" s="11">
        <f t="shared" si="1"/>
        <v>3</v>
      </c>
      <c r="L17" s="12">
        <f t="shared" si="2"/>
        <v>54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46215</v>
      </c>
      <c r="J18" s="10">
        <v>46244</v>
      </c>
      <c r="K18" s="11">
        <f t="shared" si="1"/>
        <v>29</v>
      </c>
      <c r="L18" s="12">
        <f t="shared" si="2"/>
        <v>50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46244</v>
      </c>
      <c r="J19" s="10">
        <v>46251</v>
      </c>
      <c r="K19" s="11">
        <f t="shared" si="1"/>
        <v>7</v>
      </c>
      <c r="L19" s="12">
        <f t="shared" si="2"/>
        <v>47</v>
      </c>
      <c r="AX19" t="str">
        <f>"     "&amp;A12&amp;" · real"</f>
        <v xml:space="preserve">     7 · real</v>
      </c>
      <c r="AY19" s="13">
        <f>IF($I12="",$F12,$I12)</f>
        <v>46156</v>
      </c>
      <c r="AZ19">
        <v>0</v>
      </c>
      <c r="BA19">
        <f>IF($K12="",0,$K12)</f>
        <v>44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46266</v>
      </c>
      <c r="K20" s="11" t="str">
        <f t="shared" si="1"/>
        <v/>
      </c>
      <c r="L20" s="12">
        <f t="shared" si="2"/>
        <v>61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19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46209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46206</v>
      </c>
      <c r="AZ27">
        <v>0</v>
      </c>
      <c r="BA27">
        <f>IF($K16="",0,$K16)</f>
        <v>4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46210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46215</v>
      </c>
      <c r="AZ31">
        <v>0</v>
      </c>
      <c r="BA31">
        <f>IF($K18="",0,$K18)</f>
        <v>29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46244</v>
      </c>
      <c r="AZ33">
        <v>0</v>
      </c>
      <c r="BA33">
        <f>IF($K19="",0,$K19)</f>
        <v>7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68" priority="1">
      <formula>AND($H6&lt;&gt;"Completada",$G6&lt;&gt;"",$G6&lt;TODAY())</formula>
    </cfRule>
  </conditionalFormatting>
  <conditionalFormatting sqref="H6:H20">
    <cfRule type="expression" dxfId="67" priority="3">
      <formula>$H6="Completada"</formula>
    </cfRule>
    <cfRule type="expression" dxfId="66" priority="4">
      <formula>$H6="En curso"</formula>
    </cfRule>
    <cfRule type="expression" dxfId="65" priority="5">
      <formula>$H6="Pendiente"</formula>
    </cfRule>
  </conditionalFormatting>
  <conditionalFormatting sqref="L6:L20">
    <cfRule type="cellIs" dxfId="64" priority="11" operator="greaterThan">
      <formula>0</formula>
    </cfRule>
    <cfRule type="cellIs" dxfId="63" priority="12" operator="lessThan">
      <formula>0</formula>
    </cfRule>
  </conditionalFormatting>
  <dataValidations count="1">
    <dataValidation type="list" allowBlank="1" sqref="H6:H20" xr:uid="{34DF9374-698F-4EB9-826B-D76F092C29E4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5"/>
  <sheetViews>
    <sheetView showGridLines="0" zoomScale="110" zoomScaleNormal="110" workbookViewId="0">
      <selection activeCell="I14" sqref="I14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46190</v>
      </c>
      <c r="K11" s="11">
        <f t="shared" si="1"/>
        <v>82</v>
      </c>
      <c r="L11" s="12">
        <f t="shared" si="2"/>
        <v>113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46156</v>
      </c>
      <c r="J12" s="10">
        <v>46223</v>
      </c>
      <c r="K12" s="11">
        <f t="shared" si="1"/>
        <v>67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46202</v>
      </c>
      <c r="J13" s="10">
        <v>46223</v>
      </c>
      <c r="K13" s="11">
        <f t="shared" si="1"/>
        <v>21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82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46156</v>
      </c>
      <c r="AZ19">
        <v>0</v>
      </c>
      <c r="BA19">
        <f>IF($K12="",0,$K12)</f>
        <v>67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46280</v>
      </c>
      <c r="K20" s="11" t="str">
        <f t="shared" si="1"/>
        <v/>
      </c>
      <c r="L20" s="12">
        <f t="shared" si="2"/>
        <v>75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46202</v>
      </c>
      <c r="AZ21">
        <v>0</v>
      </c>
      <c r="BA21">
        <f>IF($K13="",0,$K13)</f>
        <v>21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62" priority="1">
      <formula>AND($H6&lt;&gt;"Completada",$G6&lt;&gt;"",$G6&lt;TODAY())</formula>
    </cfRule>
  </conditionalFormatting>
  <conditionalFormatting sqref="H6:H20">
    <cfRule type="expression" dxfId="61" priority="7">
      <formula>$H6="Completada"</formula>
    </cfRule>
    <cfRule type="expression" dxfId="60" priority="8">
      <formula>$H6="En curso"</formula>
    </cfRule>
    <cfRule type="expression" dxfId="59" priority="9">
      <formula>$H6="Pendiente"</formula>
    </cfRule>
  </conditionalFormatting>
  <conditionalFormatting sqref="L6:L20">
    <cfRule type="cellIs" dxfId="58" priority="4" operator="greaterThan">
      <formula>0</formula>
    </cfRule>
    <cfRule type="cellIs" dxfId="57" priority="5" operator="lessThan">
      <formula>0</formula>
    </cfRule>
  </conditionalFormatting>
  <dataValidations count="1">
    <dataValidation type="list" allowBlank="1" sqref="H6:H20" xr:uid="{4BD0676D-DC28-4487-8FDE-7A82097025DC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37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46174</v>
      </c>
      <c r="J12" s="10">
        <v>46223</v>
      </c>
      <c r="K12" s="11">
        <f t="shared" si="1"/>
        <v>49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46181</v>
      </c>
      <c r="J13" s="10">
        <v>46223</v>
      </c>
      <c r="K13" s="11">
        <f t="shared" si="1"/>
        <v>42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46174</v>
      </c>
      <c r="AZ19">
        <v>0</v>
      </c>
      <c r="BA19">
        <f>IF($K12="",0,$K12)</f>
        <v>49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46280</v>
      </c>
      <c r="K20" s="11" t="str">
        <f t="shared" si="1"/>
        <v/>
      </c>
      <c r="L20" s="12">
        <f t="shared" si="2"/>
        <v>75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42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56" priority="1">
      <formula>AND($H6&lt;&gt;"Completada",$G6&lt;&gt;"",$G6&lt;TODAY())</formula>
    </cfRule>
  </conditionalFormatting>
  <conditionalFormatting sqref="H6:H20">
    <cfRule type="expression" dxfId="55" priority="7">
      <formula>$H6="Completada"</formula>
    </cfRule>
    <cfRule type="expression" dxfId="54" priority="8">
      <formula>$H6="En curso"</formula>
    </cfRule>
    <cfRule type="expression" dxfId="53" priority="9">
      <formula>$H6="Pendiente"</formula>
    </cfRule>
  </conditionalFormatting>
  <conditionalFormatting sqref="L6:L20">
    <cfRule type="cellIs" dxfId="52" priority="4" operator="greaterThan">
      <formula>0</formula>
    </cfRule>
    <cfRule type="cellIs" dxfId="51" priority="5" operator="lessThan">
      <formula>0</formula>
    </cfRule>
  </conditionalFormatting>
  <dataValidations count="1">
    <dataValidation type="list" allowBlank="1" sqref="H6:H20" xr:uid="{EEF08879-0071-420A-8687-2068997A0B63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8.54296875" bestFit="1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38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ht="13.75" customHeight="1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46174</v>
      </c>
      <c r="J12" s="10">
        <v>46223</v>
      </c>
      <c r="K12" s="11">
        <f t="shared" si="1"/>
        <v>49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46181</v>
      </c>
      <c r="J13" s="10">
        <v>46223</v>
      </c>
      <c r="K13" s="11">
        <f t="shared" si="1"/>
        <v>42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46174</v>
      </c>
      <c r="AZ19">
        <v>0</v>
      </c>
      <c r="BA19">
        <f>IF($K12="",0,$K12)</f>
        <v>49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46280</v>
      </c>
      <c r="K20" s="11" t="str">
        <f t="shared" si="1"/>
        <v/>
      </c>
      <c r="L20" s="12">
        <f t="shared" si="2"/>
        <v>75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42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50" priority="1">
      <formula>AND($H6&lt;&gt;"Completada",$G6&lt;&gt;"",$G6&lt;TODAY())</formula>
    </cfRule>
  </conditionalFormatting>
  <conditionalFormatting sqref="H6:H20">
    <cfRule type="expression" dxfId="49" priority="9">
      <formula>$H6="Completada"</formula>
    </cfRule>
    <cfRule type="expression" dxfId="48" priority="10">
      <formula>$H6="En curso"</formula>
    </cfRule>
    <cfRule type="expression" dxfId="47" priority="11">
      <formula>$H6="Pendiente"</formula>
    </cfRule>
  </conditionalFormatting>
  <conditionalFormatting sqref="L6:L20">
    <cfRule type="cellIs" dxfId="46" priority="6" operator="greaterThan">
      <formula>0</formula>
    </cfRule>
    <cfRule type="cellIs" dxfId="45" priority="7" operator="lessThan">
      <formula>0</formula>
    </cfRule>
  </conditionalFormatting>
  <dataValidations disablePrompts="1" count="1">
    <dataValidation type="list" allowBlank="1" sqref="H6:H20" xr:uid="{820F1D98-DC86-4BE4-830C-46DA740A0226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39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46174</v>
      </c>
      <c r="J12" s="10">
        <v>46223</v>
      </c>
      <c r="K12" s="11">
        <f t="shared" si="1"/>
        <v>49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46181</v>
      </c>
      <c r="J13" s="10">
        <v>46223</v>
      </c>
      <c r="K13" s="11">
        <f t="shared" si="1"/>
        <v>42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46174</v>
      </c>
      <c r="AZ19">
        <v>0</v>
      </c>
      <c r="BA19">
        <f>IF($K12="",0,$K12)</f>
        <v>49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46296</v>
      </c>
      <c r="K20" s="11" t="str">
        <f t="shared" si="1"/>
        <v/>
      </c>
      <c r="L20" s="12">
        <f t="shared" si="2"/>
        <v>91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42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44" priority="1">
      <formula>AND($H6&lt;&gt;"Completada",$G6&lt;&gt;"",$G6&lt;TODAY())</formula>
    </cfRule>
  </conditionalFormatting>
  <conditionalFormatting sqref="H6:H20">
    <cfRule type="expression" dxfId="43" priority="8">
      <formula>$H6="Completada"</formula>
    </cfRule>
    <cfRule type="expression" dxfId="42" priority="9">
      <formula>$H6="En curso"</formula>
    </cfRule>
    <cfRule type="expression" dxfId="41" priority="10">
      <formula>$H6="Pendiente"</formula>
    </cfRule>
  </conditionalFormatting>
  <conditionalFormatting sqref="L6:L20">
    <cfRule type="cellIs" dxfId="40" priority="5" operator="greaterThan">
      <formula>0</formula>
    </cfRule>
    <cfRule type="cellIs" dxfId="39" priority="6" operator="lessThan">
      <formula>0</formula>
    </cfRule>
  </conditionalFormatting>
  <dataValidations count="1">
    <dataValidation type="list" allowBlank="1" sqref="H6:H20" xr:uid="{877A60B8-6065-46DE-AC92-700A20D7B682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40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46174</v>
      </c>
      <c r="J12" s="10">
        <v>46223</v>
      </c>
      <c r="K12" s="11">
        <f t="shared" si="1"/>
        <v>49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46181</v>
      </c>
      <c r="J13" s="10">
        <v>46223</v>
      </c>
      <c r="K13" s="11">
        <f t="shared" si="1"/>
        <v>42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46174</v>
      </c>
      <c r="AZ19">
        <v>0</v>
      </c>
      <c r="BA19">
        <f>IF($K12="",0,$K12)</f>
        <v>49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46296</v>
      </c>
      <c r="K20" s="11" t="str">
        <f t="shared" si="1"/>
        <v/>
      </c>
      <c r="L20" s="12">
        <f t="shared" si="2"/>
        <v>91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42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38" priority="1">
      <formula>AND($H6&lt;&gt;"Completada",$G6&lt;&gt;"",$G6&lt;TODAY())</formula>
    </cfRule>
  </conditionalFormatting>
  <conditionalFormatting sqref="H6:H20">
    <cfRule type="expression" dxfId="37" priority="9">
      <formula>$H6="Completada"</formula>
    </cfRule>
    <cfRule type="expression" dxfId="36" priority="10">
      <formula>$H6="En curso"</formula>
    </cfRule>
    <cfRule type="expression" dxfId="35" priority="11">
      <formula>$H6="Pendiente"</formula>
    </cfRule>
  </conditionalFormatting>
  <conditionalFormatting sqref="L6:L20">
    <cfRule type="cellIs" dxfId="34" priority="6" operator="greaterThan">
      <formula>0</formula>
    </cfRule>
    <cfRule type="cellIs" dxfId="33" priority="7" operator="lessThan">
      <formula>0</formula>
    </cfRule>
  </conditionalFormatting>
  <dataValidations count="1">
    <dataValidation type="list" allowBlank="1" sqref="H6:H20" xr:uid="{794E4A26-E369-4D9C-B64D-DC4E5E73C0DC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1.1796875" bestFit="1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41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46174</v>
      </c>
      <c r="J12" s="10">
        <v>46223</v>
      </c>
      <c r="K12" s="11">
        <f t="shared" si="1"/>
        <v>49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46181</v>
      </c>
      <c r="J13" s="10">
        <v>46223</v>
      </c>
      <c r="K13" s="11">
        <f t="shared" si="1"/>
        <v>42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46174</v>
      </c>
      <c r="AZ19">
        <v>0</v>
      </c>
      <c r="BA19">
        <f>IF($K12="",0,$K12)</f>
        <v>49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46296</v>
      </c>
      <c r="K20" s="11" t="str">
        <f t="shared" si="1"/>
        <v/>
      </c>
      <c r="L20" s="12">
        <f t="shared" si="2"/>
        <v>91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42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32" priority="1">
      <formula>AND($H6&lt;&gt;"Completada",$G6&lt;&gt;"",$G6&lt;TODAY())</formula>
    </cfRule>
  </conditionalFormatting>
  <conditionalFormatting sqref="H6:H20">
    <cfRule type="expression" dxfId="31" priority="9">
      <formula>$H6="Completada"</formula>
    </cfRule>
    <cfRule type="expression" dxfId="30" priority="10">
      <formula>$H6="En curso"</formula>
    </cfRule>
    <cfRule type="expression" dxfId="29" priority="11">
      <formula>$H6="Pendiente"</formula>
    </cfRule>
  </conditionalFormatting>
  <conditionalFormatting sqref="L6:L20">
    <cfRule type="cellIs" dxfId="28" priority="6" operator="greaterThan">
      <formula>0</formula>
    </cfRule>
    <cfRule type="cellIs" dxfId="27" priority="7" operator="lessThan">
      <formula>0</formula>
    </cfRule>
  </conditionalFormatting>
  <dataValidations count="1">
    <dataValidation type="list" allowBlank="1" sqref="H6:H20" xr:uid="{F18FD294-97A6-40BA-97E2-04569E0651A6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42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46204</v>
      </c>
      <c r="J12" s="10">
        <v>46223</v>
      </c>
      <c r="K12" s="11">
        <f t="shared" si="1"/>
        <v>19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46181</v>
      </c>
      <c r="J13" s="10">
        <v>46223</v>
      </c>
      <c r="K13" s="11">
        <f t="shared" si="1"/>
        <v>42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46204</v>
      </c>
      <c r="AZ19">
        <v>0</v>
      </c>
      <c r="BA19">
        <f>IF($K12="",0,$K12)</f>
        <v>19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46327</v>
      </c>
      <c r="K20" s="11" t="str">
        <f t="shared" si="1"/>
        <v/>
      </c>
      <c r="L20" s="12">
        <f t="shared" si="2"/>
        <v>122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42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26" priority="1">
      <formula>AND($H6&lt;&gt;"Completada",$G6&lt;&gt;"",$G6&lt;TODAY())</formula>
    </cfRule>
  </conditionalFormatting>
  <conditionalFormatting sqref="H6:H20">
    <cfRule type="expression" dxfId="25" priority="8">
      <formula>$H6="Completada"</formula>
    </cfRule>
    <cfRule type="expression" dxfId="24" priority="9">
      <formula>$H6="En curso"</formula>
    </cfRule>
    <cfRule type="expression" dxfId="23" priority="10">
      <formula>$H6="Pendiente"</formula>
    </cfRule>
  </conditionalFormatting>
  <conditionalFormatting sqref="L6:L20">
    <cfRule type="cellIs" dxfId="22" priority="5" operator="greaterThan">
      <formula>0</formula>
    </cfRule>
    <cfRule type="cellIs" dxfId="21" priority="6" operator="lessThan">
      <formula>0</formula>
    </cfRule>
  </conditionalFormatting>
  <dataValidations count="1">
    <dataValidation type="list" allowBlank="1" sqref="H6:H20" xr:uid="{1E84EA37-4354-4F3C-B932-101D51BB7A48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43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46182</v>
      </c>
      <c r="K11" s="11">
        <f t="shared" si="1"/>
        <v>74</v>
      </c>
      <c r="L11" s="12">
        <f t="shared" si="2"/>
        <v>105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46204</v>
      </c>
      <c r="J12" s="10">
        <v>46223</v>
      </c>
      <c r="K12" s="11">
        <f t="shared" si="1"/>
        <v>19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46183</v>
      </c>
      <c r="J13" s="10">
        <v>46223</v>
      </c>
      <c r="K13" s="11">
        <f t="shared" si="1"/>
        <v>40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74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46204</v>
      </c>
      <c r="AZ19">
        <v>0</v>
      </c>
      <c r="BA19">
        <f>IF($K12="",0,$K12)</f>
        <v>19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46327</v>
      </c>
      <c r="K20" s="11" t="str">
        <f t="shared" si="1"/>
        <v/>
      </c>
      <c r="L20" s="12">
        <f t="shared" si="2"/>
        <v>122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46183</v>
      </c>
      <c r="AZ21">
        <v>0</v>
      </c>
      <c r="BA21">
        <f>IF($K13="",0,$K13)</f>
        <v>40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20" priority="1">
      <formula>AND($H6&lt;&gt;"Completada",$G6&lt;&gt;"",$G6&lt;TODAY())</formula>
    </cfRule>
  </conditionalFormatting>
  <conditionalFormatting sqref="H6:H20">
    <cfRule type="expression" dxfId="19" priority="9">
      <formula>$H6="Completada"</formula>
    </cfRule>
    <cfRule type="expression" dxfId="18" priority="10">
      <formula>$H6="En curso"</formula>
    </cfRule>
    <cfRule type="expression" dxfId="17" priority="11">
      <formula>$H6="Pendiente"</formula>
    </cfRule>
  </conditionalFormatting>
  <conditionalFormatting sqref="L6:L20">
    <cfRule type="cellIs" dxfId="16" priority="6" operator="greaterThan">
      <formula>0</formula>
    </cfRule>
    <cfRule type="cellIs" dxfId="15" priority="7" operator="lessThan">
      <formula>0</formula>
    </cfRule>
  </conditionalFormatting>
  <dataValidations count="1">
    <dataValidation type="list" allowBlank="1" sqref="H6:H20" xr:uid="{B97FD603-E6AA-46ED-8892-622AFBF003EA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35"/>
  <sheetViews>
    <sheetView showGridLines="0" topLeftCell="A6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3" customWidth="1"/>
    <col min="5" max="5" width="0" hidden="1" customWidth="1"/>
    <col min="6" max="6" width="12" hidden="1" customWidth="1"/>
    <col min="7" max="7" width="13" hidden="1" customWidth="1"/>
    <col min="8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44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46182</v>
      </c>
      <c r="K11" s="11">
        <f t="shared" si="1"/>
        <v>74</v>
      </c>
      <c r="L11" s="12">
        <f t="shared" si="2"/>
        <v>105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46204</v>
      </c>
      <c r="J12" s="10">
        <v>46223</v>
      </c>
      <c r="K12" s="11">
        <f t="shared" si="1"/>
        <v>19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46183</v>
      </c>
      <c r="J13" s="10">
        <v>46223</v>
      </c>
      <c r="K13" s="11">
        <f t="shared" si="1"/>
        <v>40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74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46204</v>
      </c>
      <c r="AZ19">
        <v>0</v>
      </c>
      <c r="BA19">
        <f>IF($K12="",0,$K12)</f>
        <v>19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46327</v>
      </c>
      <c r="K20" s="11" t="str">
        <f t="shared" si="1"/>
        <v/>
      </c>
      <c r="L20" s="12">
        <f t="shared" si="2"/>
        <v>122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46183</v>
      </c>
      <c r="AZ21">
        <v>0</v>
      </c>
      <c r="BA21">
        <f>IF($K13="",0,$K13)</f>
        <v>40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14" priority="1">
      <formula>AND($H6&lt;&gt;"Completada",$G6&lt;&gt;"",$G6&lt;TODAY())</formula>
    </cfRule>
  </conditionalFormatting>
  <conditionalFormatting sqref="H6:H20">
    <cfRule type="expression" dxfId="13" priority="10">
      <formula>$H6="Completada"</formula>
    </cfRule>
    <cfRule type="expression" dxfId="12" priority="11">
      <formula>$H6="En curso"</formula>
    </cfRule>
    <cfRule type="expression" dxfId="11" priority="12">
      <formula>$H6="Pendiente"</formula>
    </cfRule>
  </conditionalFormatting>
  <conditionalFormatting sqref="L6:L20">
    <cfRule type="cellIs" dxfId="10" priority="7" operator="greaterThan">
      <formula>0</formula>
    </cfRule>
    <cfRule type="cellIs" dxfId="9" priority="8" operator="lessThan">
      <formula>0</formula>
    </cfRule>
  </conditionalFormatting>
  <dataValidations count="1">
    <dataValidation type="list" allowBlank="1" sqref="H6:H20" xr:uid="{A9BB8886-90F4-46E8-9AD0-7A16D95D6FC7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A35"/>
  <sheetViews>
    <sheetView showGridLines="0" zoomScale="110" zoomScaleNormal="110" workbookViewId="0">
      <selection activeCell="J20" sqref="J20"/>
    </sheetView>
  </sheetViews>
  <sheetFormatPr defaultColWidth="8.54296875" defaultRowHeight="14.5" x14ac:dyDescent="0.35"/>
  <cols>
    <col min="1" max="1" width="4.453125" customWidth="1"/>
    <col min="2" max="2" width="41.54296875" customWidth="1"/>
    <col min="3" max="3" width="10.54296875" customWidth="1"/>
    <col min="4" max="4" width="14" bestFit="1" customWidth="1"/>
    <col min="5" max="5" width="8.81640625" bestFit="1" customWidth="1"/>
    <col min="6" max="7" width="10.54296875" hidden="1" customWidth="1"/>
    <col min="8" max="8" width="11.1796875" bestFit="1" customWidth="1"/>
    <col min="9" max="12" width="13" customWidth="1"/>
    <col min="13" max="13" width="2" customWidth="1"/>
    <col min="14" max="14" width="3.453125" customWidth="1"/>
    <col min="45" max="45" width="10.81640625" customWidth="1"/>
  </cols>
  <sheetData>
    <row r="1" spans="1:53" ht="18" customHeight="1" x14ac:dyDescent="0.45">
      <c r="A1" s="1" t="s">
        <v>0</v>
      </c>
    </row>
    <row r="3" spans="1:53" x14ac:dyDescent="0.35">
      <c r="A3" s="15" t="s">
        <v>45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53" x14ac:dyDescent="0.35">
      <c r="B4" s="2" t="s">
        <v>1</v>
      </c>
      <c r="C4" s="3">
        <v>46014</v>
      </c>
      <c r="I4" s="2" t="s">
        <v>2</v>
      </c>
      <c r="J4" s="3">
        <f ca="1">TODAY()</f>
        <v>46204</v>
      </c>
    </row>
    <row r="5" spans="1:53" x14ac:dyDescent="0.35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AX5" t="s">
        <v>4</v>
      </c>
      <c r="AY5" t="s">
        <v>8</v>
      </c>
      <c r="AZ5" t="s">
        <v>15</v>
      </c>
      <c r="BA5" t="s">
        <v>16</v>
      </c>
    </row>
    <row r="6" spans="1:53" x14ac:dyDescent="0.35">
      <c r="A6" s="6">
        <v>1</v>
      </c>
      <c r="B6" s="6" t="s">
        <v>17</v>
      </c>
      <c r="C6" s="7">
        <v>30</v>
      </c>
      <c r="D6" s="7"/>
      <c r="E6" s="7"/>
      <c r="F6" s="8">
        <f>$C$4</f>
        <v>46014</v>
      </c>
      <c r="G6" s="8">
        <f t="shared" ref="G6:G20" si="0">F6+C6</f>
        <v>46044</v>
      </c>
      <c r="H6" s="9" t="s">
        <v>48</v>
      </c>
      <c r="I6" s="10">
        <v>46014</v>
      </c>
      <c r="J6" s="10">
        <v>46059</v>
      </c>
      <c r="K6" s="11">
        <f t="shared" ref="K6:K20" si="1">IF(OR($I6="",$J6=""),"",$J6-$I6)</f>
        <v>45</v>
      </c>
      <c r="L6" s="12">
        <f t="shared" ref="L6:L20" si="2">IF($J6="","",$J6-$G6)</f>
        <v>15</v>
      </c>
      <c r="AX6" t="str">
        <f>A6&amp;". "&amp;B6</f>
        <v>1. Muestras finalizadas en China</v>
      </c>
      <c r="AY6" s="13">
        <f>F6</f>
        <v>46014</v>
      </c>
      <c r="AZ6">
        <f>C6</f>
        <v>30</v>
      </c>
      <c r="BA6">
        <v>0</v>
      </c>
    </row>
    <row r="7" spans="1:53" x14ac:dyDescent="0.35">
      <c r="A7" s="6">
        <v>2</v>
      </c>
      <c r="B7" s="6" t="s">
        <v>19</v>
      </c>
      <c r="C7" s="7">
        <v>10</v>
      </c>
      <c r="D7" s="7">
        <v>1</v>
      </c>
      <c r="E7" s="7"/>
      <c r="F7" s="8">
        <f t="shared" ref="F7:F15" si="3">IF($D7="",$C$4,IF($E7="II",INDEX($F$6:$F$20,MATCH($D7,$A$6:$A$20,0)),INDEX($G$6:$G$20,MATCH($D7,$A$6:$A$20,0))))</f>
        <v>46044</v>
      </c>
      <c r="G7" s="8">
        <f t="shared" si="0"/>
        <v>46054</v>
      </c>
      <c r="H7" s="9" t="s">
        <v>48</v>
      </c>
      <c r="I7" s="10">
        <v>46064</v>
      </c>
      <c r="J7" s="10">
        <v>46091</v>
      </c>
      <c r="K7" s="11">
        <f t="shared" si="1"/>
        <v>27</v>
      </c>
      <c r="L7" s="12">
        <f t="shared" si="2"/>
        <v>37</v>
      </c>
      <c r="AX7" t="str">
        <f>"     "&amp;A6&amp;" · real"</f>
        <v xml:space="preserve">     1 · real</v>
      </c>
      <c r="AY7" s="13">
        <f>IF($I6="",$F6,$I6)</f>
        <v>46014</v>
      </c>
      <c r="AZ7">
        <v>0</v>
      </c>
      <c r="BA7">
        <f>IF($K6="",0,$K6)</f>
        <v>45</v>
      </c>
    </row>
    <row r="8" spans="1:53" x14ac:dyDescent="0.35">
      <c r="A8" s="6">
        <v>3</v>
      </c>
      <c r="B8" s="6" t="s">
        <v>20</v>
      </c>
      <c r="C8" s="7">
        <v>5</v>
      </c>
      <c r="D8" s="7">
        <v>2</v>
      </c>
      <c r="E8" s="7" t="s">
        <v>21</v>
      </c>
      <c r="F8" s="8">
        <f t="shared" si="3"/>
        <v>46054</v>
      </c>
      <c r="G8" s="8">
        <f t="shared" si="0"/>
        <v>46059</v>
      </c>
      <c r="H8" s="9" t="s">
        <v>48</v>
      </c>
      <c r="I8" s="10"/>
      <c r="J8" s="10">
        <v>46104</v>
      </c>
      <c r="K8" s="11" t="str">
        <f t="shared" si="1"/>
        <v/>
      </c>
      <c r="L8" s="12">
        <f t="shared" si="2"/>
        <v>45</v>
      </c>
      <c r="AX8" t="str">
        <f>A7&amp;". "&amp;B7</f>
        <v>2. Courier a Mexico</v>
      </c>
      <c r="AY8" s="13">
        <f>F7</f>
        <v>46044</v>
      </c>
      <c r="AZ8">
        <f>C7</f>
        <v>10</v>
      </c>
      <c r="BA8">
        <v>0</v>
      </c>
    </row>
    <row r="9" spans="1:53" x14ac:dyDescent="0.35">
      <c r="A9" s="6">
        <v>4</v>
      </c>
      <c r="B9" s="6" t="s">
        <v>22</v>
      </c>
      <c r="C9" s="7">
        <v>12</v>
      </c>
      <c r="D9" s="7">
        <v>2</v>
      </c>
      <c r="E9" s="7" t="s">
        <v>21</v>
      </c>
      <c r="F9" s="8">
        <f t="shared" si="3"/>
        <v>46054</v>
      </c>
      <c r="G9" s="8">
        <f t="shared" si="0"/>
        <v>46066</v>
      </c>
      <c r="H9" s="9" t="s">
        <v>48</v>
      </c>
      <c r="I9" s="10">
        <v>46091</v>
      </c>
      <c r="J9" s="10">
        <v>46104</v>
      </c>
      <c r="K9" s="11">
        <f t="shared" si="1"/>
        <v>13</v>
      </c>
      <c r="L9" s="12">
        <f t="shared" si="2"/>
        <v>38</v>
      </c>
      <c r="AX9" t="str">
        <f>"     "&amp;A7&amp;" · real"</f>
        <v xml:space="preserve">     2 · real</v>
      </c>
      <c r="AY9" s="13">
        <f>IF($I7="",$F7,$I7)</f>
        <v>46064</v>
      </c>
      <c r="AZ9">
        <v>0</v>
      </c>
      <c r="BA9">
        <f>IF($K7="",0,$K7)</f>
        <v>27</v>
      </c>
    </row>
    <row r="10" spans="1:53" x14ac:dyDescent="0.35">
      <c r="A10" s="6">
        <v>5</v>
      </c>
      <c r="B10" s="6" t="s">
        <v>23</v>
      </c>
      <c r="C10" s="7">
        <v>4</v>
      </c>
      <c r="D10" s="7">
        <v>4</v>
      </c>
      <c r="E10" s="7" t="s">
        <v>21</v>
      </c>
      <c r="F10" s="8">
        <f t="shared" si="3"/>
        <v>46066</v>
      </c>
      <c r="G10" s="8">
        <f t="shared" si="0"/>
        <v>46070</v>
      </c>
      <c r="H10" s="9" t="s">
        <v>48</v>
      </c>
      <c r="I10" s="10">
        <v>46104</v>
      </c>
      <c r="J10" s="10">
        <v>46108</v>
      </c>
      <c r="K10" s="11">
        <f t="shared" si="1"/>
        <v>4</v>
      </c>
      <c r="L10" s="12">
        <f t="shared" si="2"/>
        <v>38</v>
      </c>
      <c r="AX10" t="str">
        <f>A8&amp;". "&amp;B8</f>
        <v>3. DEADLINE aprobación Cloé (confirmación muestra final)</v>
      </c>
      <c r="AY10" s="13">
        <f>F8</f>
        <v>46054</v>
      </c>
      <c r="AZ10">
        <f>C8</f>
        <v>5</v>
      </c>
      <c r="BA10">
        <v>0</v>
      </c>
    </row>
    <row r="11" spans="1:53" x14ac:dyDescent="0.35">
      <c r="A11" s="6">
        <v>6</v>
      </c>
      <c r="B11" s="6" t="s">
        <v>24</v>
      </c>
      <c r="C11" s="7">
        <v>7</v>
      </c>
      <c r="D11" s="7">
        <v>5</v>
      </c>
      <c r="E11" s="7" t="s">
        <v>21</v>
      </c>
      <c r="F11" s="8">
        <f t="shared" si="3"/>
        <v>46070</v>
      </c>
      <c r="G11" s="8">
        <f t="shared" si="0"/>
        <v>46077</v>
      </c>
      <c r="H11" s="9" t="s">
        <v>48</v>
      </c>
      <c r="I11" s="10">
        <v>46108</v>
      </c>
      <c r="J11" s="10">
        <v>46164</v>
      </c>
      <c r="K11" s="11">
        <f t="shared" si="1"/>
        <v>56</v>
      </c>
      <c r="L11" s="12">
        <f t="shared" si="2"/>
        <v>87</v>
      </c>
      <c r="AX11" t="str">
        <f>"     "&amp;A8&amp;" · real"</f>
        <v xml:space="preserve">     3 · real</v>
      </c>
      <c r="AY11" s="13">
        <f>IF($I8="",$F8,$I8)</f>
        <v>46054</v>
      </c>
      <c r="AZ11">
        <v>0</v>
      </c>
      <c r="BA11">
        <f>IF($K8="",0,$K8)</f>
        <v>0</v>
      </c>
    </row>
    <row r="12" spans="1:53" x14ac:dyDescent="0.35">
      <c r="A12" s="6">
        <v>7</v>
      </c>
      <c r="B12" s="6" t="s">
        <v>25</v>
      </c>
      <c r="C12" s="7">
        <v>60</v>
      </c>
      <c r="D12" s="7">
        <v>6</v>
      </c>
      <c r="E12" s="7" t="s">
        <v>21</v>
      </c>
      <c r="F12" s="8">
        <f t="shared" si="3"/>
        <v>46077</v>
      </c>
      <c r="G12" s="8">
        <f t="shared" si="0"/>
        <v>46137</v>
      </c>
      <c r="H12" s="9" t="s">
        <v>49</v>
      </c>
      <c r="I12" s="10">
        <v>46174</v>
      </c>
      <c r="J12" s="10">
        <v>46223</v>
      </c>
      <c r="K12" s="11">
        <f t="shared" si="1"/>
        <v>49</v>
      </c>
      <c r="L12" s="12">
        <f t="shared" si="2"/>
        <v>86</v>
      </c>
      <c r="AX12" t="str">
        <f>A9&amp;". "&amp;B9</f>
        <v>4. Reunión con Comité y entrega de muestras</v>
      </c>
      <c r="AY12" s="13">
        <f>F9</f>
        <v>46054</v>
      </c>
      <c r="AZ12">
        <f>C9</f>
        <v>12</v>
      </c>
      <c r="BA12">
        <v>0</v>
      </c>
    </row>
    <row r="13" spans="1:53" x14ac:dyDescent="0.35">
      <c r="A13" s="6">
        <v>8</v>
      </c>
      <c r="B13" s="6" t="s">
        <v>26</v>
      </c>
      <c r="C13" s="7">
        <v>30</v>
      </c>
      <c r="D13" s="7">
        <v>6</v>
      </c>
      <c r="E13" s="7" t="s">
        <v>21</v>
      </c>
      <c r="F13" s="8">
        <f t="shared" si="3"/>
        <v>46077</v>
      </c>
      <c r="G13" s="8">
        <f t="shared" si="0"/>
        <v>46107</v>
      </c>
      <c r="H13" s="9" t="s">
        <v>49</v>
      </c>
      <c r="I13" s="10">
        <v>46181</v>
      </c>
      <c r="J13" s="10">
        <v>46223</v>
      </c>
      <c r="K13" s="11">
        <f t="shared" si="1"/>
        <v>42</v>
      </c>
      <c r="L13" s="12">
        <f t="shared" si="2"/>
        <v>116</v>
      </c>
      <c r="AX13" t="str">
        <f>"     "&amp;A9&amp;" · real"</f>
        <v xml:space="preserve">     4 · real</v>
      </c>
      <c r="AY13" s="13">
        <f>IF($I9="",$F9,$I9)</f>
        <v>46091</v>
      </c>
      <c r="AZ13">
        <v>0</v>
      </c>
      <c r="BA13">
        <f>IF($K9="",0,$K9)</f>
        <v>13</v>
      </c>
    </row>
    <row r="14" spans="1:53" x14ac:dyDescent="0.35">
      <c r="A14" s="6">
        <v>9</v>
      </c>
      <c r="B14" s="6" t="s">
        <v>27</v>
      </c>
      <c r="C14" s="7">
        <v>45</v>
      </c>
      <c r="D14" s="7">
        <v>7</v>
      </c>
      <c r="E14" s="7" t="s">
        <v>28</v>
      </c>
      <c r="F14" s="8">
        <f t="shared" si="3"/>
        <v>46077</v>
      </c>
      <c r="G14" s="8">
        <f t="shared" si="0"/>
        <v>46122</v>
      </c>
      <c r="H14" s="9" t="s">
        <v>18</v>
      </c>
      <c r="I14" s="10"/>
      <c r="J14" s="10"/>
      <c r="K14" s="11" t="str">
        <f t="shared" si="1"/>
        <v/>
      </c>
      <c r="L14" s="12" t="str">
        <f t="shared" si="2"/>
        <v/>
      </c>
      <c r="AX14" t="str">
        <f>A10&amp;". "&amp;B10</f>
        <v>5. Confirmación de muestras y packaging</v>
      </c>
      <c r="AY14" s="13">
        <f>F10</f>
        <v>46066</v>
      </c>
      <c r="AZ14">
        <f>C10</f>
        <v>4</v>
      </c>
      <c r="BA14">
        <v>0</v>
      </c>
    </row>
    <row r="15" spans="1:53" x14ac:dyDescent="0.35">
      <c r="A15" s="6">
        <v>10</v>
      </c>
      <c r="B15" s="6" t="s">
        <v>29</v>
      </c>
      <c r="C15" s="7">
        <v>60</v>
      </c>
      <c r="D15" s="7">
        <v>7</v>
      </c>
      <c r="E15" s="7" t="s">
        <v>28</v>
      </c>
      <c r="F15" s="8">
        <f t="shared" si="3"/>
        <v>46077</v>
      </c>
      <c r="G15" s="8">
        <f t="shared" si="0"/>
        <v>46137</v>
      </c>
      <c r="H15" s="9" t="s">
        <v>48</v>
      </c>
      <c r="I15" s="10"/>
      <c r="J15" s="10"/>
      <c r="K15" s="11" t="str">
        <f t="shared" si="1"/>
        <v/>
      </c>
      <c r="L15" s="12" t="str">
        <f t="shared" si="2"/>
        <v/>
      </c>
      <c r="AX15" t="str">
        <f>"     "&amp;A10&amp;" · real"</f>
        <v xml:space="preserve">     5 · real</v>
      </c>
      <c r="AY15" s="13">
        <f>IF($I10="",$F10,$I10)</f>
        <v>46104</v>
      </c>
      <c r="AZ15">
        <v>0</v>
      </c>
      <c r="BA15">
        <f>IF($K10="",0,$K10)</f>
        <v>4</v>
      </c>
    </row>
    <row r="16" spans="1:53" x14ac:dyDescent="0.35">
      <c r="A16" s="6">
        <v>11</v>
      </c>
      <c r="B16" s="6" t="s">
        <v>30</v>
      </c>
      <c r="C16" s="7">
        <v>7</v>
      </c>
      <c r="D16" s="7"/>
      <c r="E16" s="7"/>
      <c r="F16" s="8">
        <f>MAX($G$12,$G$13)</f>
        <v>46137</v>
      </c>
      <c r="G16" s="8">
        <f t="shared" si="0"/>
        <v>46144</v>
      </c>
      <c r="H16" s="9" t="s">
        <v>18</v>
      </c>
      <c r="I16" s="10">
        <v>46223</v>
      </c>
      <c r="J16" s="10">
        <v>46230</v>
      </c>
      <c r="K16" s="11">
        <f t="shared" si="1"/>
        <v>7</v>
      </c>
      <c r="L16" s="12">
        <f t="shared" si="2"/>
        <v>86</v>
      </c>
      <c r="AX16" t="str">
        <f>A11&amp;". "&amp;B11</f>
        <v>6. Master Cloé (modelo &amp; upc)</v>
      </c>
      <c r="AY16" s="13">
        <f>F11</f>
        <v>46070</v>
      </c>
      <c r="AZ16">
        <f>C11</f>
        <v>7</v>
      </c>
      <c r="BA16">
        <v>0</v>
      </c>
    </row>
    <row r="17" spans="1:53" x14ac:dyDescent="0.35">
      <c r="A17" s="6">
        <v>12</v>
      </c>
      <c r="B17" s="6" t="s">
        <v>31</v>
      </c>
      <c r="C17" s="7">
        <v>15</v>
      </c>
      <c r="D17" s="7">
        <v>11</v>
      </c>
      <c r="E17" s="7" t="s">
        <v>21</v>
      </c>
      <c r="F17" s="8">
        <f>IF($D17="",$C$4,IF($E17="II",INDEX($F$6:$F$20,MATCH($D17,$A$6:$A$20,0)),INDEX($G$6:$G$20,MATCH($D17,$A$6:$A$20,0))))</f>
        <v>46144</v>
      </c>
      <c r="G17" s="8">
        <f t="shared" si="0"/>
        <v>46159</v>
      </c>
      <c r="H17" s="9" t="s">
        <v>18</v>
      </c>
      <c r="I17" s="10">
        <v>46230</v>
      </c>
      <c r="J17" s="10">
        <v>46233</v>
      </c>
      <c r="K17" s="11">
        <f t="shared" si="1"/>
        <v>3</v>
      </c>
      <c r="L17" s="12">
        <f t="shared" si="2"/>
        <v>74</v>
      </c>
      <c r="AX17" t="str">
        <f>"     "&amp;A11&amp;" · real"</f>
        <v xml:space="preserve">     6 · real</v>
      </c>
      <c r="AY17" s="13">
        <f>IF($I11="",$F11,$I11)</f>
        <v>46108</v>
      </c>
      <c r="AZ17">
        <v>0</v>
      </c>
      <c r="BA17">
        <f>IF($K11="",0,$K11)</f>
        <v>56</v>
      </c>
    </row>
    <row r="18" spans="1:53" x14ac:dyDescent="0.35">
      <c r="A18" s="6">
        <v>13</v>
      </c>
      <c r="B18" s="6" t="s">
        <v>32</v>
      </c>
      <c r="C18" s="7">
        <v>35</v>
      </c>
      <c r="D18" s="7">
        <v>12</v>
      </c>
      <c r="E18" s="7" t="s">
        <v>21</v>
      </c>
      <c r="F18" s="8">
        <f>IF($D18="",$C$4,IF($E18="II",INDEX($F$6:$F$20,MATCH($D18,$A$6:$A$20,0)),INDEX($G$6:$G$20,MATCH($D18,$A$6:$A$20,0))))</f>
        <v>46159</v>
      </c>
      <c r="G18" s="8">
        <f t="shared" si="0"/>
        <v>46194</v>
      </c>
      <c r="H18" s="9" t="s">
        <v>18</v>
      </c>
      <c r="I18" s="10">
        <v>46235</v>
      </c>
      <c r="J18" s="10">
        <v>46266</v>
      </c>
      <c r="K18" s="11">
        <f t="shared" si="1"/>
        <v>31</v>
      </c>
      <c r="L18" s="12">
        <f t="shared" si="2"/>
        <v>72</v>
      </c>
      <c r="AX18" t="str">
        <f>A12&amp;". "&amp;B12</f>
        <v>7. Producción de producto</v>
      </c>
      <c r="AY18" s="13">
        <f>F12</f>
        <v>46077</v>
      </c>
      <c r="AZ18">
        <f>C12</f>
        <v>60</v>
      </c>
      <c r="BA18">
        <v>0</v>
      </c>
    </row>
    <row r="19" spans="1:53" x14ac:dyDescent="0.35">
      <c r="A19" s="6">
        <v>14</v>
      </c>
      <c r="B19" s="6" t="s">
        <v>33</v>
      </c>
      <c r="C19" s="7">
        <v>10</v>
      </c>
      <c r="D19" s="7">
        <v>13</v>
      </c>
      <c r="E19" s="7" t="s">
        <v>21</v>
      </c>
      <c r="F19" s="8">
        <f>IF($D19="",$C$4,IF($E19="II",INDEX($F$6:$F$20,MATCH($D19,$A$6:$A$20,0)),INDEX($G$6:$G$20,MATCH($D19,$A$6:$A$20,0))))</f>
        <v>46194</v>
      </c>
      <c r="G19" s="8">
        <f t="shared" si="0"/>
        <v>46204</v>
      </c>
      <c r="H19" s="9" t="s">
        <v>18</v>
      </c>
      <c r="I19" s="10">
        <v>46266</v>
      </c>
      <c r="J19" s="10">
        <v>46275</v>
      </c>
      <c r="K19" s="11">
        <f t="shared" si="1"/>
        <v>9</v>
      </c>
      <c r="L19" s="12">
        <f t="shared" si="2"/>
        <v>71</v>
      </c>
      <c r="AX19" t="str">
        <f>"     "&amp;A12&amp;" · real"</f>
        <v xml:space="preserve">     7 · real</v>
      </c>
      <c r="AY19" s="13">
        <f>IF($I12="",$F12,$I12)</f>
        <v>46174</v>
      </c>
      <c r="AZ19">
        <v>0</v>
      </c>
      <c r="BA19">
        <f>IF($K12="",0,$K12)</f>
        <v>49</v>
      </c>
    </row>
    <row r="20" spans="1:53" x14ac:dyDescent="0.35">
      <c r="A20" s="6">
        <v>15</v>
      </c>
      <c r="B20" s="6" t="s">
        <v>34</v>
      </c>
      <c r="C20" s="7">
        <v>1</v>
      </c>
      <c r="D20" s="7">
        <v>14</v>
      </c>
      <c r="E20" s="7" t="s">
        <v>21</v>
      </c>
      <c r="F20" s="8">
        <f>IF($D20="",$C$4,IF($E20="II",INDEX($F$6:$F$20,MATCH($D20,$A$6:$A$20,0)),INDEX($G$6:$G$20,MATCH($D20,$A$6:$A$20,0))))</f>
        <v>46204</v>
      </c>
      <c r="G20" s="8">
        <f t="shared" si="0"/>
        <v>46205</v>
      </c>
      <c r="H20" s="9" t="s">
        <v>18</v>
      </c>
      <c r="I20" s="10"/>
      <c r="J20" s="10">
        <v>46327</v>
      </c>
      <c r="K20" s="11" t="str">
        <f t="shared" si="1"/>
        <v/>
      </c>
      <c r="L20" s="12">
        <f t="shared" si="2"/>
        <v>122</v>
      </c>
      <c r="AX20" t="str">
        <f>A13&amp;". "&amp;B13</f>
        <v>8. Producción de packaging</v>
      </c>
      <c r="AY20" s="13">
        <f>F13</f>
        <v>46077</v>
      </c>
      <c r="AZ20">
        <f>C13</f>
        <v>30</v>
      </c>
      <c r="BA20">
        <v>0</v>
      </c>
    </row>
    <row r="21" spans="1:53" x14ac:dyDescent="0.35">
      <c r="AX21" t="str">
        <f>"     "&amp;A13&amp;" · real"</f>
        <v xml:space="preserve">     8 · real</v>
      </c>
      <c r="AY21" s="13">
        <f>IF($I13="",$F13,$I13)</f>
        <v>46181</v>
      </c>
      <c r="AZ21">
        <v>0</v>
      </c>
      <c r="BA21">
        <f>IF($K13="",0,$K13)</f>
        <v>42</v>
      </c>
    </row>
    <row r="22" spans="1:53" x14ac:dyDescent="0.35">
      <c r="AX22" t="str">
        <f>A14&amp;". "&amp;B14</f>
        <v>9. Muestras de producción a México (fotografía)</v>
      </c>
      <c r="AY22" s="13">
        <f>F14</f>
        <v>46077</v>
      </c>
      <c r="AZ22">
        <f>C14</f>
        <v>45</v>
      </c>
      <c r="BA22">
        <v>0</v>
      </c>
    </row>
    <row r="23" spans="1:53" x14ac:dyDescent="0.35">
      <c r="AX23" t="str">
        <f>"     "&amp;A14&amp;" · real"</f>
        <v xml:space="preserve">     9 · real</v>
      </c>
      <c r="AY23" s="13">
        <f>IF($I14="",$F14,$I14)</f>
        <v>46077</v>
      </c>
      <c r="AZ23">
        <v>0</v>
      </c>
      <c r="BA23">
        <f>IF($K14="",0,$K14)</f>
        <v>0</v>
      </c>
    </row>
    <row r="24" spans="1:53" x14ac:dyDescent="0.35">
      <c r="AX24" t="str">
        <f>A15&amp;". "&amp;B15</f>
        <v>10. Gestión proveedores Cloé</v>
      </c>
      <c r="AY24" s="13">
        <f>F15</f>
        <v>46077</v>
      </c>
      <c r="AZ24">
        <f>C15</f>
        <v>60</v>
      </c>
      <c r="BA24">
        <v>0</v>
      </c>
    </row>
    <row r="25" spans="1:53" x14ac:dyDescent="0.35">
      <c r="AX25" t="str">
        <f>"     "&amp;A15&amp;" · real"</f>
        <v xml:space="preserve">     10 · real</v>
      </c>
      <c r="AY25" s="13">
        <f>IF($I15="",$F15,$I15)</f>
        <v>46077</v>
      </c>
      <c r="AZ25">
        <v>0</v>
      </c>
      <c r="BA25">
        <f>IF($K15="",0,$K15)</f>
        <v>0</v>
      </c>
    </row>
    <row r="26" spans="1:53" x14ac:dyDescent="0.35">
      <c r="AX26" t="str">
        <f>A16&amp;". "&amp;B16</f>
        <v>11. Inspección</v>
      </c>
      <c r="AY26" s="13">
        <f>F16</f>
        <v>46137</v>
      </c>
      <c r="AZ26">
        <f>C16</f>
        <v>7</v>
      </c>
      <c r="BA26">
        <v>0</v>
      </c>
    </row>
    <row r="27" spans="1:53" x14ac:dyDescent="0.35">
      <c r="AX27" t="str">
        <f>"     "&amp;A16&amp;" · real"</f>
        <v xml:space="preserve">     11 · real</v>
      </c>
      <c r="AY27" s="13">
        <f>IF($I16="",$F16,$I16)</f>
        <v>46223</v>
      </c>
      <c r="AZ27">
        <v>0</v>
      </c>
      <c r="BA27">
        <f>IF($K16="",0,$K16)</f>
        <v>7</v>
      </c>
    </row>
    <row r="28" spans="1:53" x14ac:dyDescent="0.35">
      <c r="AX28" t="str">
        <f>A17&amp;". "&amp;B17</f>
        <v>12. Orden terminada + CUT OFF + tiempos puerto</v>
      </c>
      <c r="AY28" s="13">
        <f>F17</f>
        <v>46144</v>
      </c>
      <c r="AZ28">
        <f>C17</f>
        <v>15</v>
      </c>
      <c r="BA28">
        <v>0</v>
      </c>
    </row>
    <row r="29" spans="1:53" x14ac:dyDescent="0.35">
      <c r="AX29" t="str">
        <f>"     "&amp;A17&amp;" · real"</f>
        <v xml:space="preserve">     12 · real</v>
      </c>
      <c r="AY29" s="13">
        <f>IF($I17="",$F17,$I17)</f>
        <v>46230</v>
      </c>
      <c r="AZ29">
        <v>0</v>
      </c>
      <c r="BA29">
        <f>IF($K17="",0,$K17)</f>
        <v>3</v>
      </c>
    </row>
    <row r="30" spans="1:53" x14ac:dyDescent="0.35">
      <c r="AX30" t="str">
        <f>A18&amp;". "&amp;B18</f>
        <v>13. Tránsito marítimo</v>
      </c>
      <c r="AY30" s="13">
        <f>F18</f>
        <v>46159</v>
      </c>
      <c r="AZ30">
        <f>C18</f>
        <v>35</v>
      </c>
      <c r="BA30">
        <v>0</v>
      </c>
    </row>
    <row r="31" spans="1:53" x14ac:dyDescent="0.35">
      <c r="AX31" t="str">
        <f>"     "&amp;A18&amp;" · real"</f>
        <v xml:space="preserve">     13 · real</v>
      </c>
      <c r="AY31" s="13">
        <f>IF($I18="",$F18,$I18)</f>
        <v>46235</v>
      </c>
      <c r="AZ31">
        <v>0</v>
      </c>
      <c r="BA31">
        <f>IF($K18="",0,$K18)</f>
        <v>31</v>
      </c>
    </row>
    <row r="32" spans="1:53" x14ac:dyDescent="0.35">
      <c r="AX32" t="str">
        <f>A19&amp;". "&amp;B19</f>
        <v>14. Aduana México</v>
      </c>
      <c r="AY32" s="13">
        <f>F19</f>
        <v>46194</v>
      </c>
      <c r="AZ32">
        <f>C19</f>
        <v>10</v>
      </c>
      <c r="BA32">
        <v>0</v>
      </c>
    </row>
    <row r="33" spans="50:53" x14ac:dyDescent="0.35">
      <c r="AX33" t="str">
        <f>"     "&amp;A19&amp;" · real"</f>
        <v xml:space="preserve">     14 · real</v>
      </c>
      <c r="AY33" s="13">
        <f>IF($I19="",$F19,$I19)</f>
        <v>46266</v>
      </c>
      <c r="AZ33">
        <v>0</v>
      </c>
      <c r="BA33">
        <f>IF($K19="",0,$K19)</f>
        <v>9</v>
      </c>
    </row>
    <row r="34" spans="50:53" x14ac:dyDescent="0.35">
      <c r="AX34" t="str">
        <f>A20&amp;". "&amp;B20</f>
        <v>15. Lanzamiento</v>
      </c>
      <c r="AY34" s="13">
        <f>F20</f>
        <v>46204</v>
      </c>
      <c r="AZ34">
        <f>C20</f>
        <v>1</v>
      </c>
      <c r="BA34">
        <v>0</v>
      </c>
    </row>
    <row r="35" spans="50:53" x14ac:dyDescent="0.35">
      <c r="AX35" t="str">
        <f>"     "&amp;A20&amp;" · real"</f>
        <v xml:space="preserve">     15 · real</v>
      </c>
      <c r="AY35" s="13">
        <f>IF($I20="",$F20,$I20)</f>
        <v>46204</v>
      </c>
      <c r="AZ35">
        <v>0</v>
      </c>
      <c r="BA35">
        <f>IF($K20="",0,$K20)</f>
        <v>0</v>
      </c>
    </row>
  </sheetData>
  <mergeCells count="1">
    <mergeCell ref="A3:L3"/>
  </mergeCells>
  <conditionalFormatting sqref="B6:L20">
    <cfRule type="expression" dxfId="8" priority="1">
      <formula>AND($H6&lt;&gt;"Completada",$G6&lt;&gt;"",$G6&lt;TODAY())</formula>
    </cfRule>
  </conditionalFormatting>
  <conditionalFormatting sqref="H6:H20">
    <cfRule type="expression" dxfId="7" priority="9">
      <formula>$H6="Completada"</formula>
    </cfRule>
    <cfRule type="expression" dxfId="6" priority="10">
      <formula>$H6="En curso"</formula>
    </cfRule>
    <cfRule type="expression" dxfId="5" priority="11">
      <formula>$H6="Pendiente"</formula>
    </cfRule>
  </conditionalFormatting>
  <conditionalFormatting sqref="L6:L20">
    <cfRule type="cellIs" dxfId="4" priority="6" operator="greaterThan">
      <formula>0</formula>
    </cfRule>
    <cfRule type="cellIs" dxfId="3" priority="7" operator="lessThan">
      <formula>0</formula>
    </cfRule>
  </conditionalFormatting>
  <dataValidations count="1">
    <dataValidation type="list" allowBlank="1" sqref="H6:H20" xr:uid="{CDA848C8-38E5-411A-9E01-7D6F70D79D4F}">
      <formula1>"Pendiente,En curso,Completada"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6TRAO26787NEG</vt:lpstr>
      <vt:lpstr>6TRAO26787BEI</vt:lpstr>
      <vt:lpstr>6TRAO26788NEG</vt:lpstr>
      <vt:lpstr>6TRAO26789NEG</vt:lpstr>
      <vt:lpstr>6TRAO26790BEIGE</vt:lpstr>
      <vt:lpstr>6TRAO26791NEG</vt:lpstr>
      <vt:lpstr>6TRAO26792NEG</vt:lpstr>
      <vt:lpstr>6TRAI26793NEG</vt:lpstr>
      <vt:lpstr>6TRAI26794ROJ</vt:lpstr>
      <vt:lpstr>6TRAI26795MUL</vt:lpstr>
      <vt:lpstr>6TRAI26796NEG</vt:lpstr>
      <vt:lpstr>6TRAI26797VER</vt:lpstr>
      <vt:lpstr>6TRAI26798ROJ</vt:lpstr>
      <vt:lpstr>6TRAI26799NEG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Martina</cp:lastModifiedBy>
  <cp:revision>1</cp:revision>
  <dcterms:created xsi:type="dcterms:W3CDTF">2026-06-18T12:50:07Z</dcterms:created>
  <dcterms:modified xsi:type="dcterms:W3CDTF">2026-07-01T13:07:51Z</dcterms:modified>
  <dc:language>en-US</dc:language>
</cp:coreProperties>
</file>