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ravelblue-my.sharepoint.com/personal/martina_travel-blue_com/Documents/CLOE/PROMOCIONAL/"/>
    </mc:Choice>
  </mc:AlternateContent>
  <xr:revisionPtr revIDLastSave="256" documentId="13_ncr:1_{D04AF09E-61C0-4618-A348-EAB986EE9F2B}" xr6:coauthVersionLast="47" xr6:coauthVersionMax="47" xr10:uidLastSave="{A78F9965-6350-4714-8857-9B794EBA5DF4}"/>
  <bookViews>
    <workbookView xWindow="-120" yWindow="-120" windowWidth="29040" windowHeight="15720" tabRatio="500" xr2:uid="{00000000-000D-0000-FFFF-FFFF00000000}"/>
  </bookViews>
  <sheets>
    <sheet name="Promocional A" sheetId="17" r:id="rId1"/>
    <sheet name="Promocional B" sheetId="19" r:id="rId2"/>
    <sheet name="Promocional C" sheetId="1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Y53" i="19" l="1"/>
  <c r="AX53" i="19"/>
  <c r="AX52" i="19"/>
  <c r="AX51" i="19"/>
  <c r="AX50" i="19"/>
  <c r="AX49" i="19"/>
  <c r="AX48" i="19"/>
  <c r="AX47" i="19"/>
  <c r="AX46" i="19"/>
  <c r="AY45" i="19"/>
  <c r="AX45" i="19"/>
  <c r="AX44" i="19"/>
  <c r="AY43" i="19"/>
  <c r="AX43" i="19"/>
  <c r="AX42" i="19"/>
  <c r="AY41" i="19"/>
  <c r="AX41" i="19"/>
  <c r="AX40" i="19"/>
  <c r="BA39" i="19"/>
  <c r="AY39" i="19"/>
  <c r="AX39" i="19"/>
  <c r="AX38" i="19"/>
  <c r="AY37" i="19"/>
  <c r="AX37" i="19"/>
  <c r="AX36" i="19"/>
  <c r="BA35" i="19"/>
  <c r="AY35" i="19"/>
  <c r="AX35" i="19"/>
  <c r="AX34" i="19"/>
  <c r="AY33" i="19"/>
  <c r="AX33" i="19"/>
  <c r="AX32" i="19"/>
  <c r="AY31" i="19"/>
  <c r="AX31" i="19"/>
  <c r="AX30" i="19"/>
  <c r="AY29" i="19"/>
  <c r="AX29" i="19"/>
  <c r="AX28" i="19"/>
  <c r="AY27" i="19"/>
  <c r="AX27" i="19"/>
  <c r="AX26" i="19"/>
  <c r="L26" i="19"/>
  <c r="K26" i="19"/>
  <c r="BA53" i="19" s="1"/>
  <c r="AY25" i="19"/>
  <c r="AX25" i="19"/>
  <c r="L25" i="19"/>
  <c r="K25" i="19"/>
  <c r="BA51" i="19" s="1"/>
  <c r="AX24" i="19"/>
  <c r="L24" i="19"/>
  <c r="K24" i="19"/>
  <c r="BA49" i="19" s="1"/>
  <c r="AY23" i="19"/>
  <c r="AX23" i="19"/>
  <c r="L23" i="19"/>
  <c r="K23" i="19"/>
  <c r="BA47" i="19" s="1"/>
  <c r="AX22" i="19"/>
  <c r="L22" i="19"/>
  <c r="K22" i="19"/>
  <c r="BA45" i="19" s="1"/>
  <c r="AY21" i="19"/>
  <c r="AX21" i="19"/>
  <c r="L21" i="19"/>
  <c r="K21" i="19"/>
  <c r="BA43" i="19" s="1"/>
  <c r="AX20" i="19"/>
  <c r="L20" i="19"/>
  <c r="K20" i="19"/>
  <c r="BA41" i="19" s="1"/>
  <c r="BA19" i="19"/>
  <c r="AY19" i="19"/>
  <c r="AX19" i="19"/>
  <c r="L19" i="19"/>
  <c r="K19" i="19"/>
  <c r="AY18" i="19"/>
  <c r="AX18" i="19"/>
  <c r="L18" i="19"/>
  <c r="K18" i="19"/>
  <c r="BA37" i="19" s="1"/>
  <c r="BA17" i="19"/>
  <c r="AY17" i="19"/>
  <c r="AX17" i="19"/>
  <c r="L17" i="19"/>
  <c r="K17" i="19"/>
  <c r="AX16" i="19"/>
  <c r="L16" i="19"/>
  <c r="K16" i="19"/>
  <c r="BA33" i="19" s="1"/>
  <c r="AY15" i="19"/>
  <c r="AX15" i="19"/>
  <c r="L15" i="19"/>
  <c r="K15" i="19"/>
  <c r="BA31" i="19" s="1"/>
  <c r="AY14" i="19"/>
  <c r="AX14" i="19"/>
  <c r="L14" i="19"/>
  <c r="K14" i="19"/>
  <c r="BA29" i="19" s="1"/>
  <c r="AY13" i="19"/>
  <c r="AX13" i="19"/>
  <c r="L13" i="19"/>
  <c r="K13" i="19"/>
  <c r="BA27" i="19" s="1"/>
  <c r="AZ12" i="19"/>
  <c r="AY12" i="19"/>
  <c r="AX12" i="19"/>
  <c r="K12" i="19"/>
  <c r="BA25" i="19" s="1"/>
  <c r="F12" i="19"/>
  <c r="AY24" i="19" s="1"/>
  <c r="K11" i="19"/>
  <c r="BA23" i="19" s="1"/>
  <c r="G11" i="19"/>
  <c r="AZ22" i="19" s="1"/>
  <c r="F11" i="19"/>
  <c r="AY22" i="19" s="1"/>
  <c r="K10" i="19"/>
  <c r="BA21" i="19" s="1"/>
  <c r="G10" i="19"/>
  <c r="AZ20" i="19" s="1"/>
  <c r="F10" i="19"/>
  <c r="AY20" i="19" s="1"/>
  <c r="L9" i="19"/>
  <c r="K9" i="19"/>
  <c r="G9" i="19"/>
  <c r="F9" i="19"/>
  <c r="AZ18" i="19" s="1"/>
  <c r="K8" i="19"/>
  <c r="G8" i="19"/>
  <c r="AZ16" i="19" s="1"/>
  <c r="F8" i="19"/>
  <c r="AY16" i="19" s="1"/>
  <c r="K7" i="19"/>
  <c r="BA15" i="19" s="1"/>
  <c r="G7" i="19"/>
  <c r="AZ14" i="19" s="1"/>
  <c r="F7" i="19"/>
  <c r="L6" i="19"/>
  <c r="K6" i="19"/>
  <c r="BA13" i="19" s="1"/>
  <c r="G6" i="19"/>
  <c r="F6" i="19"/>
  <c r="J4" i="19"/>
  <c r="AY53" i="18"/>
  <c r="AX53" i="18"/>
  <c r="AX52" i="18"/>
  <c r="AX51" i="18"/>
  <c r="AX50" i="18"/>
  <c r="AX49" i="18"/>
  <c r="AX48" i="18"/>
  <c r="AX47" i="18"/>
  <c r="AX46" i="18"/>
  <c r="AY45" i="18"/>
  <c r="AX45" i="18"/>
  <c r="AX44" i="18"/>
  <c r="AY43" i="18"/>
  <c r="AX43" i="18"/>
  <c r="AX42" i="18"/>
  <c r="AY41" i="18"/>
  <c r="AX41" i="18"/>
  <c r="AX40" i="18"/>
  <c r="AY39" i="18"/>
  <c r="AX39" i="18"/>
  <c r="AX38" i="18"/>
  <c r="AY37" i="18"/>
  <c r="AX37" i="18"/>
  <c r="AX36" i="18"/>
  <c r="AY35" i="18"/>
  <c r="AX35" i="18"/>
  <c r="AX34" i="18"/>
  <c r="AY33" i="18"/>
  <c r="AX33" i="18"/>
  <c r="AX32" i="18"/>
  <c r="AY31" i="18"/>
  <c r="AX31" i="18"/>
  <c r="AX30" i="18"/>
  <c r="AY29" i="18"/>
  <c r="AX29" i="18"/>
  <c r="AX28" i="18"/>
  <c r="AY27" i="18"/>
  <c r="AX27" i="18"/>
  <c r="AX26" i="18"/>
  <c r="L26" i="18"/>
  <c r="K26" i="18"/>
  <c r="BA53" i="18" s="1"/>
  <c r="AY25" i="18"/>
  <c r="AX25" i="18"/>
  <c r="L25" i="18"/>
  <c r="K25" i="18"/>
  <c r="BA51" i="18" s="1"/>
  <c r="AX24" i="18"/>
  <c r="L24" i="18"/>
  <c r="K24" i="18"/>
  <c r="BA49" i="18" s="1"/>
  <c r="AY23" i="18"/>
  <c r="AX23" i="18"/>
  <c r="L23" i="18"/>
  <c r="K23" i="18"/>
  <c r="BA47" i="18" s="1"/>
  <c r="AX22" i="18"/>
  <c r="L22" i="18"/>
  <c r="K22" i="18"/>
  <c r="BA45" i="18" s="1"/>
  <c r="AY21" i="18"/>
  <c r="AX21" i="18"/>
  <c r="L21" i="18"/>
  <c r="K21" i="18"/>
  <c r="BA43" i="18" s="1"/>
  <c r="AZ20" i="18"/>
  <c r="AX20" i="18"/>
  <c r="L20" i="18"/>
  <c r="K20" i="18"/>
  <c r="BA41" i="18" s="1"/>
  <c r="AY19" i="18"/>
  <c r="AX19" i="18"/>
  <c r="L19" i="18"/>
  <c r="K19" i="18"/>
  <c r="BA39" i="18" s="1"/>
  <c r="AX18" i="18"/>
  <c r="L18" i="18"/>
  <c r="K18" i="18"/>
  <c r="BA37" i="18" s="1"/>
  <c r="BA17" i="18"/>
  <c r="AY17" i="18"/>
  <c r="AX17" i="18"/>
  <c r="L17" i="18"/>
  <c r="K17" i="18"/>
  <c r="BA35" i="18" s="1"/>
  <c r="AX16" i="18"/>
  <c r="L16" i="18"/>
  <c r="K16" i="18"/>
  <c r="BA33" i="18" s="1"/>
  <c r="BA15" i="18"/>
  <c r="AY15" i="18"/>
  <c r="AX15" i="18"/>
  <c r="L15" i="18"/>
  <c r="K15" i="18"/>
  <c r="BA31" i="18" s="1"/>
  <c r="AX14" i="18"/>
  <c r="L14" i="18"/>
  <c r="K14" i="18"/>
  <c r="BA29" i="18" s="1"/>
  <c r="AY13" i="18"/>
  <c r="AX13" i="18"/>
  <c r="L13" i="18"/>
  <c r="K13" i="18"/>
  <c r="BA27" i="18" s="1"/>
  <c r="AY12" i="18"/>
  <c r="AX12" i="18"/>
  <c r="K12" i="18"/>
  <c r="BA25" i="18" s="1"/>
  <c r="F12" i="18"/>
  <c r="AY24" i="18" s="1"/>
  <c r="L11" i="18"/>
  <c r="K11" i="18"/>
  <c r="BA23" i="18" s="1"/>
  <c r="G11" i="18"/>
  <c r="AZ22" i="18" s="1"/>
  <c r="F11" i="18"/>
  <c r="AY22" i="18" s="1"/>
  <c r="K10" i="18"/>
  <c r="BA21" i="18" s="1"/>
  <c r="G10" i="18"/>
  <c r="L10" i="18" s="1"/>
  <c r="F10" i="18"/>
  <c r="AY20" i="18" s="1"/>
  <c r="L9" i="18"/>
  <c r="K9" i="18"/>
  <c r="BA19" i="18" s="1"/>
  <c r="G9" i="18"/>
  <c r="AZ18" i="18" s="1"/>
  <c r="F9" i="18"/>
  <c r="AY18" i="18" s="1"/>
  <c r="L8" i="18"/>
  <c r="K8" i="18"/>
  <c r="G8" i="18"/>
  <c r="AZ16" i="18" s="1"/>
  <c r="F8" i="18"/>
  <c r="AY16" i="18" s="1"/>
  <c r="K7" i="18"/>
  <c r="G7" i="18"/>
  <c r="AZ14" i="18" s="1"/>
  <c r="F7" i="18"/>
  <c r="AY14" i="18" s="1"/>
  <c r="L6" i="18"/>
  <c r="K6" i="18"/>
  <c r="BA13" i="18" s="1"/>
  <c r="G6" i="18"/>
  <c r="AZ12" i="18" s="1"/>
  <c r="F6" i="18"/>
  <c r="J4" i="18"/>
  <c r="BA13" i="17"/>
  <c r="BA15" i="17"/>
  <c r="BA17" i="17"/>
  <c r="BA19" i="17"/>
  <c r="BA21" i="17"/>
  <c r="BA23" i="17"/>
  <c r="BA25" i="17"/>
  <c r="BA27" i="17"/>
  <c r="BA29" i="17"/>
  <c r="BA31" i="17"/>
  <c r="BA33" i="17"/>
  <c r="BA35" i="17"/>
  <c r="BA37" i="17"/>
  <c r="BA39" i="17"/>
  <c r="BA41" i="17"/>
  <c r="BA43" i="17"/>
  <c r="BA45" i="17"/>
  <c r="BA47" i="17"/>
  <c r="BA49" i="17"/>
  <c r="BA51" i="17"/>
  <c r="BA53" i="17"/>
  <c r="AZ12" i="17"/>
  <c r="AZ14" i="17"/>
  <c r="AZ16" i="17"/>
  <c r="AZ18" i="17"/>
  <c r="AZ20" i="17"/>
  <c r="AZ22" i="17"/>
  <c r="AZ24" i="17"/>
  <c r="AZ26" i="17"/>
  <c r="AZ28" i="17"/>
  <c r="AZ30" i="17"/>
  <c r="AZ32" i="17"/>
  <c r="AZ34" i="17"/>
  <c r="AZ36" i="17"/>
  <c r="AZ38" i="17"/>
  <c r="AZ40" i="17"/>
  <c r="AZ42" i="17"/>
  <c r="AZ44" i="17"/>
  <c r="AZ46" i="17"/>
  <c r="AZ48" i="17"/>
  <c r="AZ50" i="17"/>
  <c r="AZ52" i="17"/>
  <c r="AY12" i="17"/>
  <c r="AY13" i="17"/>
  <c r="AY14" i="17"/>
  <c r="AY15" i="17"/>
  <c r="AY16" i="17"/>
  <c r="AY17" i="17"/>
  <c r="AY18" i="17"/>
  <c r="AY19" i="17"/>
  <c r="AY20" i="17"/>
  <c r="AY21" i="17"/>
  <c r="AY22" i="17"/>
  <c r="AY23" i="17"/>
  <c r="AY24" i="17"/>
  <c r="AY25" i="17"/>
  <c r="AY26" i="17"/>
  <c r="AY27" i="17"/>
  <c r="AY28" i="17"/>
  <c r="AY29" i="17"/>
  <c r="AY30" i="17"/>
  <c r="AY31" i="17"/>
  <c r="AY32" i="17"/>
  <c r="AY33" i="17"/>
  <c r="AY34" i="17"/>
  <c r="AY35" i="17"/>
  <c r="AY36" i="17"/>
  <c r="AY37" i="17"/>
  <c r="AY38" i="17"/>
  <c r="AY39" i="17"/>
  <c r="AY40" i="17"/>
  <c r="AY41" i="17"/>
  <c r="AY42" i="17"/>
  <c r="AY43" i="17"/>
  <c r="AY44" i="17"/>
  <c r="AY45" i="17"/>
  <c r="AY46" i="17"/>
  <c r="AY47" i="17"/>
  <c r="AY48" i="17"/>
  <c r="AY49" i="17"/>
  <c r="AY50" i="17"/>
  <c r="AY51" i="17"/>
  <c r="AY52" i="17"/>
  <c r="AY53" i="17"/>
  <c r="AX12" i="17"/>
  <c r="AX13" i="17"/>
  <c r="AX14" i="17"/>
  <c r="AX15" i="17"/>
  <c r="AX16" i="17"/>
  <c r="AX17" i="17"/>
  <c r="AX18" i="17"/>
  <c r="AX19" i="17"/>
  <c r="AX20" i="17"/>
  <c r="AX21" i="17"/>
  <c r="AX22" i="17"/>
  <c r="AX23" i="17"/>
  <c r="AX24" i="17"/>
  <c r="AX25" i="17"/>
  <c r="AX26" i="17"/>
  <c r="AX27" i="17"/>
  <c r="AX28" i="17"/>
  <c r="AX29" i="17"/>
  <c r="AX30" i="17"/>
  <c r="AX31" i="17"/>
  <c r="AX32" i="17"/>
  <c r="AX33" i="17"/>
  <c r="AX34" i="17"/>
  <c r="AX35" i="17"/>
  <c r="AX36" i="17"/>
  <c r="AX37" i="17"/>
  <c r="AX38" i="17"/>
  <c r="AX39" i="17"/>
  <c r="AX40" i="17"/>
  <c r="AX41" i="17"/>
  <c r="AX42" i="17"/>
  <c r="AX43" i="17"/>
  <c r="AX44" i="17"/>
  <c r="AX45" i="17"/>
  <c r="AX46" i="17"/>
  <c r="AX47" i="17"/>
  <c r="AX48" i="17"/>
  <c r="AX49" i="17"/>
  <c r="AX50" i="17"/>
  <c r="AX51" i="17"/>
  <c r="AX52" i="17"/>
  <c r="AX53" i="17"/>
  <c r="G11" i="17"/>
  <c r="L11" i="17" s="1"/>
  <c r="G10" i="17"/>
  <c r="G9" i="17"/>
  <c r="G8" i="17"/>
  <c r="L8" i="17" s="1"/>
  <c r="G7" i="17"/>
  <c r="G6" i="17"/>
  <c r="F11" i="17"/>
  <c r="F10" i="17"/>
  <c r="F9" i="17"/>
  <c r="F8" i="17"/>
  <c r="F7" i="17"/>
  <c r="F6" i="17"/>
  <c r="K6" i="17"/>
  <c r="L6" i="17"/>
  <c r="K11" i="17"/>
  <c r="L10" i="17"/>
  <c r="K10" i="17"/>
  <c r="L9" i="17"/>
  <c r="K9" i="17"/>
  <c r="K8" i="17"/>
  <c r="L7" i="17"/>
  <c r="K7" i="17"/>
  <c r="L26" i="17"/>
  <c r="K26" i="17"/>
  <c r="K25" i="17"/>
  <c r="K24" i="17"/>
  <c r="K23" i="17"/>
  <c r="K22" i="17"/>
  <c r="L21" i="17"/>
  <c r="K21" i="17"/>
  <c r="L20" i="17"/>
  <c r="K20" i="17"/>
  <c r="K19" i="17"/>
  <c r="K18" i="17"/>
  <c r="K17" i="17"/>
  <c r="K16" i="17"/>
  <c r="K15" i="17"/>
  <c r="L14" i="17"/>
  <c r="K14" i="17"/>
  <c r="K13" i="17"/>
  <c r="K12" i="17"/>
  <c r="F12" i="17"/>
  <c r="G12" i="17" s="1"/>
  <c r="J4" i="17"/>
  <c r="L7" i="19" l="1"/>
  <c r="L10" i="19"/>
  <c r="G12" i="19"/>
  <c r="L8" i="19"/>
  <c r="L11" i="19"/>
  <c r="L7" i="18"/>
  <c r="G12" i="18"/>
  <c r="F13" i="17"/>
  <c r="L12" i="17"/>
  <c r="L12" i="19" l="1"/>
  <c r="F13" i="19"/>
  <c r="AZ24" i="19"/>
  <c r="F13" i="18"/>
  <c r="L12" i="18"/>
  <c r="AZ24" i="18"/>
  <c r="G13" i="17"/>
  <c r="G13" i="19" l="1"/>
  <c r="AY26" i="19"/>
  <c r="G13" i="18"/>
  <c r="AY26" i="18"/>
  <c r="F14" i="17"/>
  <c r="F15" i="17"/>
  <c r="L13" i="17"/>
  <c r="F14" i="19" l="1"/>
  <c r="F15" i="19"/>
  <c r="AZ26" i="19"/>
  <c r="F14" i="18"/>
  <c r="F15" i="18"/>
  <c r="AZ26" i="18"/>
  <c r="G14" i="17"/>
  <c r="G15" i="17"/>
  <c r="G15" i="19" l="1"/>
  <c r="AY30" i="19"/>
  <c r="G14" i="19"/>
  <c r="AZ28" i="19" s="1"/>
  <c r="AY28" i="19"/>
  <c r="G15" i="18"/>
  <c r="AY30" i="18"/>
  <c r="G14" i="18"/>
  <c r="AZ28" i="18" s="1"/>
  <c r="AY28" i="18"/>
  <c r="L15" i="17"/>
  <c r="F16" i="17"/>
  <c r="F16" i="19" l="1"/>
  <c r="AZ30" i="19"/>
  <c r="F16" i="18"/>
  <c r="AZ30" i="18"/>
  <c r="G16" i="17"/>
  <c r="G16" i="19" l="1"/>
  <c r="AY32" i="19"/>
  <c r="AY32" i="18"/>
  <c r="G16" i="18"/>
  <c r="F17" i="17"/>
  <c r="L16" i="17"/>
  <c r="AZ32" i="19" l="1"/>
  <c r="F17" i="19"/>
  <c r="F19" i="19"/>
  <c r="F18" i="19"/>
  <c r="AZ32" i="18"/>
  <c r="F19" i="18"/>
  <c r="F17" i="18"/>
  <c r="F18" i="18"/>
  <c r="G17" i="17"/>
  <c r="F21" i="19" l="1"/>
  <c r="F20" i="19"/>
  <c r="AY36" i="19"/>
  <c r="G18" i="19"/>
  <c r="G17" i="19"/>
  <c r="AZ34" i="19" s="1"/>
  <c r="AY34" i="19"/>
  <c r="G19" i="19"/>
  <c r="AZ38" i="19" s="1"/>
  <c r="AY38" i="19"/>
  <c r="F21" i="18"/>
  <c r="AY36" i="18"/>
  <c r="G18" i="18"/>
  <c r="F20" i="18"/>
  <c r="G17" i="18"/>
  <c r="AZ34" i="18" s="1"/>
  <c r="AY34" i="18"/>
  <c r="G19" i="18"/>
  <c r="AZ38" i="18" s="1"/>
  <c r="AY38" i="18"/>
  <c r="F19" i="17"/>
  <c r="L17" i="17"/>
  <c r="F18" i="17"/>
  <c r="G21" i="19" l="1"/>
  <c r="AZ42" i="19" s="1"/>
  <c r="AY42" i="19"/>
  <c r="AZ36" i="19"/>
  <c r="F22" i="19"/>
  <c r="G20" i="19"/>
  <c r="AZ40" i="19" s="1"/>
  <c r="AY40" i="19"/>
  <c r="G21" i="18"/>
  <c r="AZ42" i="18" s="1"/>
  <c r="AY42" i="18"/>
  <c r="AY40" i="18"/>
  <c r="G20" i="18"/>
  <c r="AZ40" i="18" s="1"/>
  <c r="AZ36" i="18"/>
  <c r="F22" i="18"/>
  <c r="F20" i="17"/>
  <c r="G18" i="17"/>
  <c r="F21" i="17"/>
  <c r="G19" i="17"/>
  <c r="L19" i="17" s="1"/>
  <c r="G22" i="19" l="1"/>
  <c r="AY44" i="19"/>
  <c r="AY44" i="18"/>
  <c r="G22" i="18"/>
  <c r="G21" i="17"/>
  <c r="F22" i="17"/>
  <c r="L18" i="17"/>
  <c r="G20" i="17"/>
  <c r="F23" i="19" l="1"/>
  <c r="AZ44" i="19"/>
  <c r="F23" i="18"/>
  <c r="AZ44" i="18"/>
  <c r="G22" i="17"/>
  <c r="AY46" i="19" l="1"/>
  <c r="AY47" i="19"/>
  <c r="G23" i="19"/>
  <c r="AY47" i="18"/>
  <c r="AY46" i="18"/>
  <c r="G23" i="18"/>
  <c r="L22" i="17"/>
  <c r="F23" i="17"/>
  <c r="F24" i="19" l="1"/>
  <c r="AZ46" i="19"/>
  <c r="F24" i="18"/>
  <c r="AZ46" i="18"/>
  <c r="G23" i="17"/>
  <c r="AY49" i="19" l="1"/>
  <c r="AY48" i="19"/>
  <c r="G24" i="19"/>
  <c r="AY49" i="18"/>
  <c r="AY48" i="18"/>
  <c r="G24" i="18"/>
  <c r="F24" i="17"/>
  <c r="L23" i="17"/>
  <c r="AZ48" i="19" l="1"/>
  <c r="F25" i="19"/>
  <c r="AZ48" i="18"/>
  <c r="F25" i="18"/>
  <c r="G24" i="17"/>
  <c r="G25" i="19" l="1"/>
  <c r="AY50" i="19"/>
  <c r="AY51" i="19"/>
  <c r="AY51" i="18"/>
  <c r="G25" i="18"/>
  <c r="AY50" i="18"/>
  <c r="L24" i="17"/>
  <c r="F25" i="17"/>
  <c r="AZ50" i="19" l="1"/>
  <c r="F26" i="19"/>
  <c r="F26" i="18"/>
  <c r="AZ50" i="18"/>
  <c r="G25" i="17"/>
  <c r="G26" i="19" l="1"/>
  <c r="AZ52" i="19" s="1"/>
  <c r="AY52" i="19"/>
  <c r="G26" i="18"/>
  <c r="AZ52" i="18" s="1"/>
  <c r="AY52" i="18"/>
  <c r="F26" i="17"/>
  <c r="L25" i="17"/>
  <c r="G26" i="17" l="1"/>
</calcChain>
</file>

<file path=xl/sharedStrings.xml><?xml version="1.0" encoding="utf-8"?>
<sst xmlns="http://schemas.openxmlformats.org/spreadsheetml/2006/main" count="228" uniqueCount="46">
  <si>
    <t>Hoy:</t>
  </si>
  <si>
    <t>#</t>
  </si>
  <si>
    <t>Tarea</t>
  </si>
  <si>
    <t>Dur. (días)</t>
  </si>
  <si>
    <t>Depende de (#)</t>
  </si>
  <si>
    <t>Tipo dep.</t>
  </si>
  <si>
    <t>Inicio</t>
  </si>
  <si>
    <t>Fin</t>
  </si>
  <si>
    <t>Estatus</t>
  </si>
  <si>
    <t>Inicio real</t>
  </si>
  <si>
    <t>Fin real</t>
  </si>
  <si>
    <t>Dur. real (días)</t>
  </si>
  <si>
    <t>Desvío (días)</t>
  </si>
  <si>
    <t>Estimado</t>
  </si>
  <si>
    <t>Real</t>
  </si>
  <si>
    <t>Pendiente</t>
  </si>
  <si>
    <t>Courier a Mexico</t>
  </si>
  <si>
    <t>DEADLINE aprobación Cloé (confirmación muestra final)</t>
  </si>
  <si>
    <t>FI</t>
  </si>
  <si>
    <t>Reunión con Comité y entrega de muestras</t>
  </si>
  <si>
    <t>Confirmación de muestras y packaging</t>
  </si>
  <si>
    <t>Master Cloé (modelo &amp; upc)</t>
  </si>
  <si>
    <t>Producción de producto</t>
  </si>
  <si>
    <t>Producción de packaging</t>
  </si>
  <si>
    <t>Muestras de producción a México (fotografía)</t>
  </si>
  <si>
    <t>II</t>
  </si>
  <si>
    <t>Gestión proveedores Cloé</t>
  </si>
  <si>
    <t>Inspección</t>
  </si>
  <si>
    <t>Orden terminada + CUT OFF + tiempos puerto</t>
  </si>
  <si>
    <t>Tránsito marítimo</t>
  </si>
  <si>
    <t>Aduana México</t>
  </si>
  <si>
    <t>Lanzamiento</t>
  </si>
  <si>
    <t>En curso</t>
  </si>
  <si>
    <t>Fecha de aprobación de renders:</t>
  </si>
  <si>
    <t>CRONOGRAMA DE PROYECTO - PROMOCIONAL  2026</t>
  </si>
  <si>
    <t>PROMOCIONAL A</t>
  </si>
  <si>
    <t>Golden week? Antes o despues del 1 al 10 Octubre</t>
  </si>
  <si>
    <t>Noviembre</t>
  </si>
  <si>
    <t>Búsqueda de productos sugerencia en China</t>
  </si>
  <si>
    <t>Presentación de sugerencias en crudo a Cloe</t>
  </si>
  <si>
    <t>Render "Cloetización" de los productos</t>
  </si>
  <si>
    <t>Aprobación de renders</t>
  </si>
  <si>
    <t>Producción de muestras en China</t>
  </si>
  <si>
    <t>Completada</t>
  </si>
  <si>
    <t>Búsqueda de más opciones / Mejorar cotizaciones</t>
  </si>
  <si>
    <t>Presentación de renders / Modificaciones renders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</si>
</sst>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\-0;0"/>
    <numFmt numFmtId="165" formatCode="m/d/yyyy"/>
  </numFmts>
  <fonts count="7" x14ac:knownFonts="1">
    <font>
      <sz val="11"/>
      <color theme="1"/>
      <name val="Calibri"/>
      <family val="2"/>
      <charset val="1"/>
    </font>
    <font>
      <b/>
      <sz val="14"/>
      <color rgb="FF30549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0000FF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4472C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right"/>
    </xf>
    <xf numFmtId="14" fontId="4" fillId="3" borderId="0" xfId="0" applyNumberFormat="1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0" fillId="0" borderId="1" xfId="0" applyBorder="1"/>
    <xf numFmtId="0" fontId="5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14" fontId="5" fillId="3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5" fillId="3" borderId="1" xfId="0" applyNumberFormat="1" applyFont="1" applyFill="1" applyBorder="1" applyAlignment="1">
      <alignment horizontal="left"/>
    </xf>
    <xf numFmtId="0" fontId="2" fillId="2" borderId="0" xfId="0" applyFont="1" applyFill="1"/>
    <xf numFmtId="165" fontId="0" fillId="0" borderId="0" xfId="0" applyNumberFormat="1"/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</dxf>
    <dxf>
      <font>
        <b/>
        <color rgb="FF9C0006"/>
      </font>
    </dxf>
    <dxf>
      <font>
        <color rgb="FF3F3F3F"/>
      </font>
      <fill>
        <patternFill>
          <bgColor rgb="FFD9D9D9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</dxf>
    <dxf>
      <font>
        <b/>
        <color rgb="FF9C0006"/>
      </font>
    </dxf>
    <dxf>
      <font>
        <color rgb="FF3F3F3F"/>
      </font>
      <fill>
        <patternFill>
          <bgColor rgb="FFD9D9D9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</dxf>
    <dxf>
      <font>
        <b/>
        <color rgb="FF9C0006"/>
      </font>
    </dxf>
    <dxf>
      <font>
        <color rgb="FF3F3F3F"/>
      </font>
      <fill>
        <patternFill>
          <bgColor rgb="FFD9D9D9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PASSPORT HOLDER — BLACK (6TRAO26787NEG) — Estimado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'Promocional A'!$AY$5</c:f>
              <c:strCache>
                <c:ptCount val="1"/>
                <c:pt idx="0">
                  <c:v>Inicio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A'!$AX$12:$AX$41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A'!$AY$12:$AY$53</c:f>
              <c:numCache>
                <c:formatCode>m/d/yyyy</c:formatCode>
                <c:ptCount val="42"/>
                <c:pt idx="0">
                  <c:v>46108</c:v>
                </c:pt>
                <c:pt idx="1">
                  <c:v>46108</c:v>
                </c:pt>
                <c:pt idx="2">
                  <c:v>46121</c:v>
                </c:pt>
                <c:pt idx="3">
                  <c:v>46121</c:v>
                </c:pt>
                <c:pt idx="4">
                  <c:v>46127</c:v>
                </c:pt>
                <c:pt idx="5">
                  <c:v>46127</c:v>
                </c:pt>
                <c:pt idx="6">
                  <c:v>46127</c:v>
                </c:pt>
                <c:pt idx="7">
                  <c:v>46127</c:v>
                </c:pt>
                <c:pt idx="8">
                  <c:v>46150</c:v>
                </c:pt>
                <c:pt idx="9">
                  <c:v>46150</c:v>
                </c:pt>
                <c:pt idx="10">
                  <c:v>46164</c:v>
                </c:pt>
                <c:pt idx="11">
                  <c:v>46164</c:v>
                </c:pt>
                <c:pt idx="12">
                  <c:v>46170</c:v>
                </c:pt>
                <c:pt idx="13">
                  <c:v>46176</c:v>
                </c:pt>
                <c:pt idx="14">
                  <c:v>46200</c:v>
                </c:pt>
                <c:pt idx="15">
                  <c:v>46210</c:v>
                </c:pt>
                <c:pt idx="16">
                  <c:v>46210</c:v>
                </c:pt>
                <c:pt idx="17">
                  <c:v>46228</c:v>
                </c:pt>
                <c:pt idx="18">
                  <c:v>46210</c:v>
                </c:pt>
                <c:pt idx="19">
                  <c:v>46218</c:v>
                </c:pt>
                <c:pt idx="20">
                  <c:v>46222</c:v>
                </c:pt>
                <c:pt idx="21">
                  <c:v>46228</c:v>
                </c:pt>
                <c:pt idx="22">
                  <c:v>46226</c:v>
                </c:pt>
                <c:pt idx="23">
                  <c:v>46234</c:v>
                </c:pt>
                <c:pt idx="24">
                  <c:v>46226</c:v>
                </c:pt>
                <c:pt idx="25">
                  <c:v>46237</c:v>
                </c:pt>
                <c:pt idx="26">
                  <c:v>46226</c:v>
                </c:pt>
                <c:pt idx="27">
                  <c:v>46237</c:v>
                </c:pt>
                <c:pt idx="28">
                  <c:v>46226</c:v>
                </c:pt>
                <c:pt idx="29">
                  <c:v>46280</c:v>
                </c:pt>
                <c:pt idx="30">
                  <c:v>46226</c:v>
                </c:pt>
                <c:pt idx="31">
                  <c:v>46237</c:v>
                </c:pt>
                <c:pt idx="32">
                  <c:v>46286</c:v>
                </c:pt>
                <c:pt idx="33">
                  <c:v>0</c:v>
                </c:pt>
                <c:pt idx="34">
                  <c:v>46293</c:v>
                </c:pt>
                <c:pt idx="35">
                  <c:v>46293</c:v>
                </c:pt>
                <c:pt idx="36">
                  <c:v>46308</c:v>
                </c:pt>
                <c:pt idx="37">
                  <c:v>46308</c:v>
                </c:pt>
                <c:pt idx="38">
                  <c:v>46343</c:v>
                </c:pt>
                <c:pt idx="39">
                  <c:v>46343</c:v>
                </c:pt>
                <c:pt idx="40">
                  <c:v>46353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9-494F-A7A8-958B2A393231}"/>
            </c:ext>
          </c:extLst>
        </c:ser>
        <c:ser>
          <c:idx val="1"/>
          <c:order val="1"/>
          <c:tx>
            <c:strRef>
              <c:f>'Promocional A'!$AZ$5</c:f>
              <c:strCache>
                <c:ptCount val="1"/>
                <c:pt idx="0">
                  <c:v>Estimado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A'!$AX$12:$AX$41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A'!$AZ$12:$AZ$53</c:f>
              <c:numCache>
                <c:formatCode>General</c:formatCode>
                <c:ptCount val="42"/>
                <c:pt idx="0">
                  <c:v>13</c:v>
                </c:pt>
                <c:pt idx="1">
                  <c:v>0</c:v>
                </c:pt>
                <c:pt idx="2">
                  <c:v>6</c:v>
                </c:pt>
                <c:pt idx="3">
                  <c:v>0</c:v>
                </c:pt>
                <c:pt idx="4">
                  <c:v>17</c:v>
                </c:pt>
                <c:pt idx="5">
                  <c:v>0</c:v>
                </c:pt>
                <c:pt idx="6">
                  <c:v>20</c:v>
                </c:pt>
                <c:pt idx="7">
                  <c:v>0</c:v>
                </c:pt>
                <c:pt idx="8">
                  <c:v>15</c:v>
                </c:pt>
                <c:pt idx="9">
                  <c:v>0</c:v>
                </c:pt>
                <c:pt idx="10">
                  <c:v>6</c:v>
                </c:pt>
                <c:pt idx="11">
                  <c:v>0</c:v>
                </c:pt>
                <c:pt idx="12">
                  <c:v>30</c:v>
                </c:pt>
                <c:pt idx="13">
                  <c:v>0</c:v>
                </c:pt>
                <c:pt idx="14">
                  <c:v>10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  <c:pt idx="18">
                  <c:v>12</c:v>
                </c:pt>
                <c:pt idx="19">
                  <c:v>0</c:v>
                </c:pt>
                <c:pt idx="20">
                  <c:v>4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60</c:v>
                </c:pt>
                <c:pt idx="25">
                  <c:v>0</c:v>
                </c:pt>
                <c:pt idx="26">
                  <c:v>30</c:v>
                </c:pt>
                <c:pt idx="27">
                  <c:v>0</c:v>
                </c:pt>
                <c:pt idx="28">
                  <c:v>45</c:v>
                </c:pt>
                <c:pt idx="29">
                  <c:v>0</c:v>
                </c:pt>
                <c:pt idx="30">
                  <c:v>60</c:v>
                </c:pt>
                <c:pt idx="31">
                  <c:v>0</c:v>
                </c:pt>
                <c:pt idx="32">
                  <c:v>7</c:v>
                </c:pt>
                <c:pt idx="33">
                  <c:v>0</c:v>
                </c:pt>
                <c:pt idx="34">
                  <c:v>15</c:v>
                </c:pt>
                <c:pt idx="35">
                  <c:v>0</c:v>
                </c:pt>
                <c:pt idx="36">
                  <c:v>35</c:v>
                </c:pt>
                <c:pt idx="37">
                  <c:v>0</c:v>
                </c:pt>
                <c:pt idx="38">
                  <c:v>10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D9-494F-A7A8-958B2A393231}"/>
            </c:ext>
          </c:extLst>
        </c:ser>
        <c:ser>
          <c:idx val="2"/>
          <c:order val="2"/>
          <c:tx>
            <c:strRef>
              <c:f>'Promocional A'!$BA$5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A'!$AX$12:$AX$41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A'!$BA$12:$BA$53</c:f>
              <c:numCache>
                <c:formatCode>General</c:formatCode>
                <c:ptCount val="42"/>
                <c:pt idx="0">
                  <c:v>0</c:v>
                </c:pt>
                <c:pt idx="1">
                  <c:v>13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17</c:v>
                </c:pt>
                <c:pt idx="6">
                  <c:v>0</c:v>
                </c:pt>
                <c:pt idx="7">
                  <c:v>20</c:v>
                </c:pt>
                <c:pt idx="8">
                  <c:v>0</c:v>
                </c:pt>
                <c:pt idx="9">
                  <c:v>15</c:v>
                </c:pt>
                <c:pt idx="10">
                  <c:v>0</c:v>
                </c:pt>
                <c:pt idx="11">
                  <c:v>6</c:v>
                </c:pt>
                <c:pt idx="12">
                  <c:v>0</c:v>
                </c:pt>
                <c:pt idx="13">
                  <c:v>30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D9-494F-A7A8-958B2A39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6431756"/>
        <c:axId val="22316213"/>
      </c:barChart>
      <c:catAx>
        <c:axId val="164317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DE"/>
          </a:p>
        </c:txPr>
        <c:crossAx val="22316213"/>
        <c:crosses val="autoZero"/>
        <c:auto val="1"/>
        <c:lblAlgn val="ctr"/>
        <c:lblOffset val="100"/>
        <c:noMultiLvlLbl val="0"/>
      </c:catAx>
      <c:valAx>
        <c:axId val="22316213"/>
        <c:scaling>
          <c:orientation val="minMax"/>
          <c:max val="46362"/>
          <c:min val="46100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DE"/>
          </a:p>
        </c:txPr>
        <c:crossAx val="16431756"/>
        <c:crosses val="max"/>
        <c:crossBetween val="between"/>
        <c:majorUnit val="3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PASSPORT HOLDER — BLACK (6TRAO26787NEG) — Estimado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'Promocional B'!$AY$5</c:f>
              <c:strCache>
                <c:ptCount val="1"/>
                <c:pt idx="0">
                  <c:v>Inicio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B'!$AX$12:$AX$41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B'!$AY$12:$AY$53</c:f>
              <c:numCache>
                <c:formatCode>m/d/yyyy</c:formatCode>
                <c:ptCount val="42"/>
                <c:pt idx="0">
                  <c:v>46108</c:v>
                </c:pt>
                <c:pt idx="1">
                  <c:v>46108</c:v>
                </c:pt>
                <c:pt idx="2">
                  <c:v>46121</c:v>
                </c:pt>
                <c:pt idx="3">
                  <c:v>46121</c:v>
                </c:pt>
                <c:pt idx="4">
                  <c:v>46127</c:v>
                </c:pt>
                <c:pt idx="5">
                  <c:v>46127</c:v>
                </c:pt>
                <c:pt idx="6">
                  <c:v>46127</c:v>
                </c:pt>
                <c:pt idx="7">
                  <c:v>46127</c:v>
                </c:pt>
                <c:pt idx="8">
                  <c:v>46150</c:v>
                </c:pt>
                <c:pt idx="9">
                  <c:v>46150</c:v>
                </c:pt>
                <c:pt idx="10">
                  <c:v>46164</c:v>
                </c:pt>
                <c:pt idx="11">
                  <c:v>46164</c:v>
                </c:pt>
                <c:pt idx="12">
                  <c:v>46170</c:v>
                </c:pt>
                <c:pt idx="13">
                  <c:v>46176</c:v>
                </c:pt>
                <c:pt idx="14">
                  <c:v>46200</c:v>
                </c:pt>
                <c:pt idx="15">
                  <c:v>46210</c:v>
                </c:pt>
                <c:pt idx="16">
                  <c:v>46210</c:v>
                </c:pt>
                <c:pt idx="17">
                  <c:v>46228</c:v>
                </c:pt>
                <c:pt idx="18">
                  <c:v>46210</c:v>
                </c:pt>
                <c:pt idx="19">
                  <c:v>46218</c:v>
                </c:pt>
                <c:pt idx="20">
                  <c:v>46222</c:v>
                </c:pt>
                <c:pt idx="21">
                  <c:v>46228</c:v>
                </c:pt>
                <c:pt idx="22">
                  <c:v>46226</c:v>
                </c:pt>
                <c:pt idx="23">
                  <c:v>46234</c:v>
                </c:pt>
                <c:pt idx="24">
                  <c:v>46226</c:v>
                </c:pt>
                <c:pt idx="25">
                  <c:v>46237</c:v>
                </c:pt>
                <c:pt idx="26">
                  <c:v>46226</c:v>
                </c:pt>
                <c:pt idx="27">
                  <c:v>46237</c:v>
                </c:pt>
                <c:pt idx="28">
                  <c:v>46226</c:v>
                </c:pt>
                <c:pt idx="29">
                  <c:v>46280</c:v>
                </c:pt>
                <c:pt idx="30">
                  <c:v>46226</c:v>
                </c:pt>
                <c:pt idx="31">
                  <c:v>46237</c:v>
                </c:pt>
                <c:pt idx="32">
                  <c:v>46286</c:v>
                </c:pt>
                <c:pt idx="33">
                  <c:v>0</c:v>
                </c:pt>
                <c:pt idx="34">
                  <c:v>46293</c:v>
                </c:pt>
                <c:pt idx="35">
                  <c:v>46293</c:v>
                </c:pt>
                <c:pt idx="36">
                  <c:v>46308</c:v>
                </c:pt>
                <c:pt idx="37">
                  <c:v>46308</c:v>
                </c:pt>
                <c:pt idx="38">
                  <c:v>46343</c:v>
                </c:pt>
                <c:pt idx="39">
                  <c:v>46343</c:v>
                </c:pt>
                <c:pt idx="40">
                  <c:v>46353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4-42E9-A05D-100A26CE0138}"/>
            </c:ext>
          </c:extLst>
        </c:ser>
        <c:ser>
          <c:idx val="1"/>
          <c:order val="1"/>
          <c:tx>
            <c:strRef>
              <c:f>'Promocional B'!$AZ$5</c:f>
              <c:strCache>
                <c:ptCount val="1"/>
                <c:pt idx="0">
                  <c:v>Estimado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B'!$AX$12:$AX$41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B'!$AZ$12:$AZ$53</c:f>
              <c:numCache>
                <c:formatCode>General</c:formatCode>
                <c:ptCount val="42"/>
                <c:pt idx="0">
                  <c:v>13</c:v>
                </c:pt>
                <c:pt idx="1">
                  <c:v>0</c:v>
                </c:pt>
                <c:pt idx="2">
                  <c:v>6</c:v>
                </c:pt>
                <c:pt idx="3">
                  <c:v>0</c:v>
                </c:pt>
                <c:pt idx="4">
                  <c:v>17</c:v>
                </c:pt>
                <c:pt idx="5">
                  <c:v>0</c:v>
                </c:pt>
                <c:pt idx="6">
                  <c:v>20</c:v>
                </c:pt>
                <c:pt idx="7">
                  <c:v>0</c:v>
                </c:pt>
                <c:pt idx="8">
                  <c:v>15</c:v>
                </c:pt>
                <c:pt idx="9">
                  <c:v>0</c:v>
                </c:pt>
                <c:pt idx="10">
                  <c:v>6</c:v>
                </c:pt>
                <c:pt idx="11">
                  <c:v>0</c:v>
                </c:pt>
                <c:pt idx="12">
                  <c:v>30</c:v>
                </c:pt>
                <c:pt idx="13">
                  <c:v>0</c:v>
                </c:pt>
                <c:pt idx="14">
                  <c:v>10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  <c:pt idx="18">
                  <c:v>12</c:v>
                </c:pt>
                <c:pt idx="19">
                  <c:v>0</c:v>
                </c:pt>
                <c:pt idx="20">
                  <c:v>4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60</c:v>
                </c:pt>
                <c:pt idx="25">
                  <c:v>0</c:v>
                </c:pt>
                <c:pt idx="26">
                  <c:v>30</c:v>
                </c:pt>
                <c:pt idx="27">
                  <c:v>0</c:v>
                </c:pt>
                <c:pt idx="28">
                  <c:v>45</c:v>
                </c:pt>
                <c:pt idx="29">
                  <c:v>0</c:v>
                </c:pt>
                <c:pt idx="30">
                  <c:v>60</c:v>
                </c:pt>
                <c:pt idx="31">
                  <c:v>0</c:v>
                </c:pt>
                <c:pt idx="32">
                  <c:v>7</c:v>
                </c:pt>
                <c:pt idx="33">
                  <c:v>0</c:v>
                </c:pt>
                <c:pt idx="34">
                  <c:v>15</c:v>
                </c:pt>
                <c:pt idx="35">
                  <c:v>0</c:v>
                </c:pt>
                <c:pt idx="36">
                  <c:v>35</c:v>
                </c:pt>
                <c:pt idx="37">
                  <c:v>0</c:v>
                </c:pt>
                <c:pt idx="38">
                  <c:v>10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D4-42E9-A05D-100A26CE0138}"/>
            </c:ext>
          </c:extLst>
        </c:ser>
        <c:ser>
          <c:idx val="2"/>
          <c:order val="2"/>
          <c:tx>
            <c:strRef>
              <c:f>'Promocional B'!$BA$5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B'!$AX$12:$AX$41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B'!$BA$12:$BA$53</c:f>
              <c:numCache>
                <c:formatCode>General</c:formatCode>
                <c:ptCount val="42"/>
                <c:pt idx="0">
                  <c:v>0</c:v>
                </c:pt>
                <c:pt idx="1">
                  <c:v>13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17</c:v>
                </c:pt>
                <c:pt idx="6">
                  <c:v>0</c:v>
                </c:pt>
                <c:pt idx="7">
                  <c:v>20</c:v>
                </c:pt>
                <c:pt idx="8">
                  <c:v>0</c:v>
                </c:pt>
                <c:pt idx="9">
                  <c:v>15</c:v>
                </c:pt>
                <c:pt idx="10">
                  <c:v>0</c:v>
                </c:pt>
                <c:pt idx="11">
                  <c:v>6</c:v>
                </c:pt>
                <c:pt idx="12">
                  <c:v>0</c:v>
                </c:pt>
                <c:pt idx="13">
                  <c:v>30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D4-42E9-A05D-100A26CE0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6431756"/>
        <c:axId val="22316213"/>
      </c:barChart>
      <c:catAx>
        <c:axId val="164317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DE"/>
          </a:p>
        </c:txPr>
        <c:crossAx val="22316213"/>
        <c:crosses val="autoZero"/>
        <c:auto val="1"/>
        <c:lblAlgn val="ctr"/>
        <c:lblOffset val="100"/>
        <c:noMultiLvlLbl val="0"/>
      </c:catAx>
      <c:valAx>
        <c:axId val="22316213"/>
        <c:scaling>
          <c:orientation val="minMax"/>
          <c:max val="46362"/>
          <c:min val="46100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DE"/>
          </a:p>
        </c:txPr>
        <c:crossAx val="16431756"/>
        <c:crosses val="max"/>
        <c:crossBetween val="between"/>
        <c:majorUnit val="3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PASSPORT HOLDER — BLACK (6TRAO26787NEG) — Estimado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'Promocional C'!$AY$5</c:f>
              <c:strCache>
                <c:ptCount val="1"/>
                <c:pt idx="0">
                  <c:v>Inicio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C'!$AX$12:$AX$41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C'!$AY$12:$AY$53</c:f>
              <c:numCache>
                <c:formatCode>m/d/yyyy</c:formatCode>
                <c:ptCount val="42"/>
                <c:pt idx="0">
                  <c:v>46108</c:v>
                </c:pt>
                <c:pt idx="1">
                  <c:v>46108</c:v>
                </c:pt>
                <c:pt idx="2">
                  <c:v>46121</c:v>
                </c:pt>
                <c:pt idx="3">
                  <c:v>46121</c:v>
                </c:pt>
                <c:pt idx="4">
                  <c:v>46127</c:v>
                </c:pt>
                <c:pt idx="5">
                  <c:v>46127</c:v>
                </c:pt>
                <c:pt idx="6">
                  <c:v>46127</c:v>
                </c:pt>
                <c:pt idx="7">
                  <c:v>46127</c:v>
                </c:pt>
                <c:pt idx="8">
                  <c:v>46150</c:v>
                </c:pt>
                <c:pt idx="9">
                  <c:v>46150</c:v>
                </c:pt>
                <c:pt idx="10">
                  <c:v>46164</c:v>
                </c:pt>
                <c:pt idx="11">
                  <c:v>46164</c:v>
                </c:pt>
                <c:pt idx="12">
                  <c:v>46170</c:v>
                </c:pt>
                <c:pt idx="13">
                  <c:v>46176</c:v>
                </c:pt>
                <c:pt idx="14">
                  <c:v>46200</c:v>
                </c:pt>
                <c:pt idx="15">
                  <c:v>46210</c:v>
                </c:pt>
                <c:pt idx="16">
                  <c:v>46210</c:v>
                </c:pt>
                <c:pt idx="17">
                  <c:v>46228</c:v>
                </c:pt>
                <c:pt idx="18">
                  <c:v>46210</c:v>
                </c:pt>
                <c:pt idx="19">
                  <c:v>46218</c:v>
                </c:pt>
                <c:pt idx="20">
                  <c:v>46222</c:v>
                </c:pt>
                <c:pt idx="21">
                  <c:v>46228</c:v>
                </c:pt>
                <c:pt idx="22">
                  <c:v>46226</c:v>
                </c:pt>
                <c:pt idx="23">
                  <c:v>46234</c:v>
                </c:pt>
                <c:pt idx="24">
                  <c:v>46226</c:v>
                </c:pt>
                <c:pt idx="25">
                  <c:v>46237</c:v>
                </c:pt>
                <c:pt idx="26">
                  <c:v>46226</c:v>
                </c:pt>
                <c:pt idx="27">
                  <c:v>46237</c:v>
                </c:pt>
                <c:pt idx="28">
                  <c:v>46226</c:v>
                </c:pt>
                <c:pt idx="29">
                  <c:v>46280</c:v>
                </c:pt>
                <c:pt idx="30">
                  <c:v>46226</c:v>
                </c:pt>
                <c:pt idx="31">
                  <c:v>46237</c:v>
                </c:pt>
                <c:pt idx="32">
                  <c:v>46286</c:v>
                </c:pt>
                <c:pt idx="33">
                  <c:v>0</c:v>
                </c:pt>
                <c:pt idx="34">
                  <c:v>46293</c:v>
                </c:pt>
                <c:pt idx="35">
                  <c:v>46293</c:v>
                </c:pt>
                <c:pt idx="36">
                  <c:v>46308</c:v>
                </c:pt>
                <c:pt idx="37">
                  <c:v>46308</c:v>
                </c:pt>
                <c:pt idx="38">
                  <c:v>46343</c:v>
                </c:pt>
                <c:pt idx="39">
                  <c:v>46343</c:v>
                </c:pt>
                <c:pt idx="40">
                  <c:v>46353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CD-4AAA-BCA8-E1049D32571D}"/>
            </c:ext>
          </c:extLst>
        </c:ser>
        <c:ser>
          <c:idx val="1"/>
          <c:order val="1"/>
          <c:tx>
            <c:strRef>
              <c:f>'Promocional C'!$AZ$5</c:f>
              <c:strCache>
                <c:ptCount val="1"/>
                <c:pt idx="0">
                  <c:v>Estimado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C'!$AX$12:$AX$41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C'!$AZ$12:$AZ$53</c:f>
              <c:numCache>
                <c:formatCode>General</c:formatCode>
                <c:ptCount val="42"/>
                <c:pt idx="0">
                  <c:v>13</c:v>
                </c:pt>
                <c:pt idx="1">
                  <c:v>0</c:v>
                </c:pt>
                <c:pt idx="2">
                  <c:v>6</c:v>
                </c:pt>
                <c:pt idx="3">
                  <c:v>0</c:v>
                </c:pt>
                <c:pt idx="4">
                  <c:v>17</c:v>
                </c:pt>
                <c:pt idx="5">
                  <c:v>0</c:v>
                </c:pt>
                <c:pt idx="6">
                  <c:v>20</c:v>
                </c:pt>
                <c:pt idx="7">
                  <c:v>0</c:v>
                </c:pt>
                <c:pt idx="8">
                  <c:v>15</c:v>
                </c:pt>
                <c:pt idx="9">
                  <c:v>0</c:v>
                </c:pt>
                <c:pt idx="10">
                  <c:v>6</c:v>
                </c:pt>
                <c:pt idx="11">
                  <c:v>0</c:v>
                </c:pt>
                <c:pt idx="12">
                  <c:v>30</c:v>
                </c:pt>
                <c:pt idx="13">
                  <c:v>0</c:v>
                </c:pt>
                <c:pt idx="14">
                  <c:v>10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  <c:pt idx="18">
                  <c:v>12</c:v>
                </c:pt>
                <c:pt idx="19">
                  <c:v>0</c:v>
                </c:pt>
                <c:pt idx="20">
                  <c:v>4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60</c:v>
                </c:pt>
                <c:pt idx="25">
                  <c:v>0</c:v>
                </c:pt>
                <c:pt idx="26">
                  <c:v>30</c:v>
                </c:pt>
                <c:pt idx="27">
                  <c:v>0</c:v>
                </c:pt>
                <c:pt idx="28">
                  <c:v>45</c:v>
                </c:pt>
                <c:pt idx="29">
                  <c:v>0</c:v>
                </c:pt>
                <c:pt idx="30">
                  <c:v>60</c:v>
                </c:pt>
                <c:pt idx="31">
                  <c:v>0</c:v>
                </c:pt>
                <c:pt idx="32">
                  <c:v>7</c:v>
                </c:pt>
                <c:pt idx="33">
                  <c:v>0</c:v>
                </c:pt>
                <c:pt idx="34">
                  <c:v>15</c:v>
                </c:pt>
                <c:pt idx="35">
                  <c:v>0</c:v>
                </c:pt>
                <c:pt idx="36">
                  <c:v>35</c:v>
                </c:pt>
                <c:pt idx="37">
                  <c:v>0</c:v>
                </c:pt>
                <c:pt idx="38">
                  <c:v>10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CD-4AAA-BCA8-E1049D32571D}"/>
            </c:ext>
          </c:extLst>
        </c:ser>
        <c:ser>
          <c:idx val="2"/>
          <c:order val="2"/>
          <c:tx>
            <c:strRef>
              <c:f>'Promocional C'!$BA$5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'Promocional C'!$AX$12:$AX$41</c:f>
              <c:strCache>
                <c:ptCount val="30"/>
                <c:pt idx="0">
                  <c:v>1. Búsqueda de productos sugerencia en China</c:v>
                </c:pt>
                <c:pt idx="1">
                  <c:v>     1 · real</c:v>
                </c:pt>
                <c:pt idx="2">
                  <c:v>2. Presentación de sugerencias en crudo a Cloe</c:v>
                </c:pt>
                <c:pt idx="3">
                  <c:v>     2 · real</c:v>
                </c:pt>
                <c:pt idx="4">
                  <c:v>3. Búsqueda de más opciones / Mejorar cotizaciones</c:v>
                </c:pt>
                <c:pt idx="5">
                  <c:v>     3 · real</c:v>
                </c:pt>
                <c:pt idx="6">
                  <c:v>4. Render "Cloetización" de los productos</c:v>
                </c:pt>
                <c:pt idx="7">
                  <c:v>     4 · real</c:v>
                </c:pt>
                <c:pt idx="8">
                  <c:v>5. Presentación de renders / Modificaciones renders</c:v>
                </c:pt>
                <c:pt idx="9">
                  <c:v>     5 · real</c:v>
                </c:pt>
                <c:pt idx="10">
                  <c:v>6. Aprobación de renders</c:v>
                </c:pt>
                <c:pt idx="11">
                  <c:v>     6 · real</c:v>
                </c:pt>
                <c:pt idx="12">
                  <c:v>7. Producción de muestras en China</c:v>
                </c:pt>
                <c:pt idx="13">
                  <c:v>     7 · real</c:v>
                </c:pt>
                <c:pt idx="14">
                  <c:v>8. Courier a Mexico</c:v>
                </c:pt>
                <c:pt idx="15">
                  <c:v>     8 · real</c:v>
                </c:pt>
                <c:pt idx="16">
                  <c:v>9. DEADLINE aprobación Cloé (confirmación muestra final)</c:v>
                </c:pt>
                <c:pt idx="17">
                  <c:v>     9 · real</c:v>
                </c:pt>
                <c:pt idx="18">
                  <c:v>10. Reunión con Comité y entrega de muestras</c:v>
                </c:pt>
                <c:pt idx="19">
                  <c:v>     10 · real</c:v>
                </c:pt>
                <c:pt idx="20">
                  <c:v>11. Confirmación de muestras y packaging</c:v>
                </c:pt>
                <c:pt idx="21">
                  <c:v>     11 · real</c:v>
                </c:pt>
                <c:pt idx="22">
                  <c:v>12. Master Cloé (modelo &amp; upc)</c:v>
                </c:pt>
                <c:pt idx="23">
                  <c:v>     12 · real</c:v>
                </c:pt>
                <c:pt idx="24">
                  <c:v>13. Producción de producto</c:v>
                </c:pt>
                <c:pt idx="25">
                  <c:v>     13 · real</c:v>
                </c:pt>
                <c:pt idx="26">
                  <c:v>14. Producción de packaging</c:v>
                </c:pt>
                <c:pt idx="27">
                  <c:v>     14 · real</c:v>
                </c:pt>
                <c:pt idx="28">
                  <c:v>15. Muestras de producción a México (fotografía)</c:v>
                </c:pt>
                <c:pt idx="29">
                  <c:v>     15 · real</c:v>
                </c:pt>
              </c:strCache>
            </c:strRef>
          </c:cat>
          <c:val>
            <c:numRef>
              <c:f>'Promocional C'!$BA$12:$BA$53</c:f>
              <c:numCache>
                <c:formatCode>General</c:formatCode>
                <c:ptCount val="42"/>
                <c:pt idx="0">
                  <c:v>0</c:v>
                </c:pt>
                <c:pt idx="1">
                  <c:v>13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17</c:v>
                </c:pt>
                <c:pt idx="6">
                  <c:v>0</c:v>
                </c:pt>
                <c:pt idx="7">
                  <c:v>20</c:v>
                </c:pt>
                <c:pt idx="8">
                  <c:v>0</c:v>
                </c:pt>
                <c:pt idx="9">
                  <c:v>15</c:v>
                </c:pt>
                <c:pt idx="10">
                  <c:v>0</c:v>
                </c:pt>
                <c:pt idx="11">
                  <c:v>6</c:v>
                </c:pt>
                <c:pt idx="12">
                  <c:v>0</c:v>
                </c:pt>
                <c:pt idx="13">
                  <c:v>30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CD-4AAA-BCA8-E1049D325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6431756"/>
        <c:axId val="22316213"/>
      </c:barChart>
      <c:catAx>
        <c:axId val="164317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DE"/>
          </a:p>
        </c:txPr>
        <c:crossAx val="22316213"/>
        <c:crosses val="autoZero"/>
        <c:auto val="1"/>
        <c:lblAlgn val="ctr"/>
        <c:lblOffset val="100"/>
        <c:noMultiLvlLbl val="0"/>
      </c:catAx>
      <c:valAx>
        <c:axId val="22316213"/>
        <c:scaling>
          <c:orientation val="minMax"/>
          <c:max val="46362"/>
          <c:min val="46100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DE"/>
          </a:p>
        </c:txPr>
        <c:crossAx val="16431756"/>
        <c:crosses val="max"/>
        <c:crossBetween val="between"/>
        <c:majorUnit val="3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43</xdr:col>
      <xdr:colOff>72526</xdr:colOff>
      <xdr:row>35</xdr:row>
      <xdr:rowOff>1889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8856B8-430A-4674-8558-74C26BD097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43</xdr:col>
      <xdr:colOff>72526</xdr:colOff>
      <xdr:row>35</xdr:row>
      <xdr:rowOff>1889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0559C5-B9EE-4218-B1DA-FCEE86A41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43</xdr:col>
      <xdr:colOff>72526</xdr:colOff>
      <xdr:row>35</xdr:row>
      <xdr:rowOff>1889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7E1A24-57C0-4E4A-BBFF-606D5D50F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7E773F-6BDF-455A-BA9F-A014F53C2F0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f132d59-77dd-4a04-830e-549d40af591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9536-540D-4E1C-812C-82890242DD86}">
  <dimension ref="A1:BA53"/>
  <sheetViews>
    <sheetView showGridLines="0" tabSelected="1" zoomScale="110" zoomScaleNormal="110" workbookViewId="0">
      <selection activeCell="B32" sqref="B32"/>
    </sheetView>
  </sheetViews>
  <sheetFormatPr defaultColWidth="8.5703125" defaultRowHeight="15" x14ac:dyDescent="0.25"/>
  <cols>
    <col min="1" max="1" width="4.42578125" customWidth="1"/>
    <col min="2" max="2" width="43.140625" customWidth="1"/>
    <col min="3" max="3" width="10.7109375" customWidth="1"/>
    <col min="4" max="4" width="24" customWidth="1"/>
    <col min="5" max="5" width="8.5703125" customWidth="1"/>
    <col min="6" max="6" width="12" customWidth="1"/>
    <col min="7" max="7" width="11.85546875" customWidth="1"/>
    <col min="8" max="12" width="13" customWidth="1"/>
    <col min="13" max="13" width="2" customWidth="1"/>
    <col min="14" max="14" width="3.42578125" customWidth="1"/>
    <col min="45" max="45" width="10.85546875" customWidth="1"/>
  </cols>
  <sheetData>
    <row r="1" spans="1:53" ht="18" customHeight="1" x14ac:dyDescent="0.3">
      <c r="A1" s="1" t="s">
        <v>34</v>
      </c>
    </row>
    <row r="3" spans="1:53" x14ac:dyDescent="0.25">
      <c r="A3" s="14" t="s">
        <v>35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53" x14ac:dyDescent="0.25">
      <c r="B4" s="2" t="s">
        <v>33</v>
      </c>
      <c r="C4" s="3">
        <v>46170</v>
      </c>
      <c r="I4" s="2" t="s">
        <v>0</v>
      </c>
      <c r="J4" s="3">
        <f ca="1">TODAY()</f>
        <v>46210</v>
      </c>
    </row>
    <row r="5" spans="1:53" x14ac:dyDescent="0.25">
      <c r="A5" s="4" t="s">
        <v>1</v>
      </c>
      <c r="B5" s="5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  <c r="H5" s="4" t="s">
        <v>8</v>
      </c>
      <c r="I5" s="4" t="s">
        <v>9</v>
      </c>
      <c r="J5" s="4" t="s">
        <v>10</v>
      </c>
      <c r="K5" s="4" t="s">
        <v>11</v>
      </c>
      <c r="L5" s="4" t="s">
        <v>12</v>
      </c>
      <c r="AX5" t="s">
        <v>2</v>
      </c>
      <c r="AY5" t="s">
        <v>6</v>
      </c>
      <c r="AZ5" t="s">
        <v>13</v>
      </c>
      <c r="BA5" t="s">
        <v>14</v>
      </c>
    </row>
    <row r="6" spans="1:53" x14ac:dyDescent="0.25">
      <c r="A6" s="6">
        <v>1</v>
      </c>
      <c r="B6" s="6" t="s">
        <v>38</v>
      </c>
      <c r="C6" s="7">
        <v>15</v>
      </c>
      <c r="D6" s="7"/>
      <c r="E6" s="7"/>
      <c r="F6" s="8">
        <f>I6</f>
        <v>46108</v>
      </c>
      <c r="G6" s="8">
        <f>J6</f>
        <v>46121</v>
      </c>
      <c r="H6" s="9" t="s">
        <v>43</v>
      </c>
      <c r="I6" s="10">
        <v>46108</v>
      </c>
      <c r="J6" s="10">
        <v>46121</v>
      </c>
      <c r="K6" s="11">
        <f>IF(OR($I6="",$J6=""),"",$J6-$I6)</f>
        <v>13</v>
      </c>
      <c r="L6" s="12">
        <f>IF($J6="","",$J6-$G6)</f>
        <v>0</v>
      </c>
    </row>
    <row r="7" spans="1:53" x14ac:dyDescent="0.25">
      <c r="A7" s="6">
        <v>2</v>
      </c>
      <c r="B7" s="6" t="s">
        <v>39</v>
      </c>
      <c r="C7" s="7">
        <v>7</v>
      </c>
      <c r="D7" s="7">
        <v>1</v>
      </c>
      <c r="E7" s="7"/>
      <c r="F7" s="8">
        <f>I7</f>
        <v>46121</v>
      </c>
      <c r="G7" s="8">
        <f>J7</f>
        <v>46127</v>
      </c>
      <c r="H7" s="9" t="s">
        <v>43</v>
      </c>
      <c r="I7" s="10">
        <v>46121</v>
      </c>
      <c r="J7" s="10">
        <v>46127</v>
      </c>
      <c r="K7" s="11">
        <f t="shared" ref="K6:K9" si="0">IF(OR($I7="",$J7=""),"",$J7-$I7)</f>
        <v>6</v>
      </c>
      <c r="L7" s="12">
        <f t="shared" ref="L6:L9" si="1">IF($J7="","",$J7-$G7)</f>
        <v>0</v>
      </c>
    </row>
    <row r="8" spans="1:53" x14ac:dyDescent="0.25">
      <c r="A8" s="6">
        <v>3</v>
      </c>
      <c r="B8" s="6" t="s">
        <v>44</v>
      </c>
      <c r="C8" s="7">
        <v>10</v>
      </c>
      <c r="D8" s="7">
        <v>2</v>
      </c>
      <c r="E8" s="7"/>
      <c r="F8" s="8">
        <f>I8</f>
        <v>46127</v>
      </c>
      <c r="G8" s="8">
        <f>J8</f>
        <v>46144</v>
      </c>
      <c r="H8" s="9" t="s">
        <v>43</v>
      </c>
      <c r="I8" s="10">
        <v>46127</v>
      </c>
      <c r="J8" s="10">
        <v>46144</v>
      </c>
      <c r="K8" s="11">
        <f t="shared" si="0"/>
        <v>17</v>
      </c>
      <c r="L8" s="12">
        <f t="shared" si="1"/>
        <v>0</v>
      </c>
    </row>
    <row r="9" spans="1:53" x14ac:dyDescent="0.25">
      <c r="A9" s="6">
        <v>4</v>
      </c>
      <c r="B9" s="6" t="s">
        <v>40</v>
      </c>
      <c r="C9" s="7">
        <v>15</v>
      </c>
      <c r="D9" s="7">
        <v>2</v>
      </c>
      <c r="E9" s="7"/>
      <c r="F9" s="8">
        <f>I9</f>
        <v>46127</v>
      </c>
      <c r="G9" s="8">
        <f>J9</f>
        <v>46147</v>
      </c>
      <c r="H9" s="9" t="s">
        <v>43</v>
      </c>
      <c r="I9" s="10">
        <v>46127</v>
      </c>
      <c r="J9" s="10">
        <v>46147</v>
      </c>
      <c r="K9" s="11">
        <f t="shared" si="0"/>
        <v>20</v>
      </c>
      <c r="L9" s="12">
        <f t="shared" si="1"/>
        <v>0</v>
      </c>
    </row>
    <row r="10" spans="1:53" x14ac:dyDescent="0.25">
      <c r="A10" s="6">
        <v>5</v>
      </c>
      <c r="B10" s="6" t="s">
        <v>45</v>
      </c>
      <c r="C10" s="7">
        <v>15</v>
      </c>
      <c r="D10" s="7">
        <v>4</v>
      </c>
      <c r="E10" s="7"/>
      <c r="F10" s="8">
        <f>I10</f>
        <v>46150</v>
      </c>
      <c r="G10" s="8">
        <f>J10</f>
        <v>46165</v>
      </c>
      <c r="H10" s="9" t="s">
        <v>43</v>
      </c>
      <c r="I10" s="10">
        <v>46150</v>
      </c>
      <c r="J10" s="10">
        <v>46165</v>
      </c>
      <c r="K10" s="11">
        <f t="shared" ref="K10:K26" si="2">IF(OR($I10="",$J10=""),"",$J10-$I10)</f>
        <v>15</v>
      </c>
      <c r="L10" s="12">
        <f t="shared" ref="L10:L26" si="3">IF($J10="","",$J10-$G10)</f>
        <v>0</v>
      </c>
    </row>
    <row r="11" spans="1:53" x14ac:dyDescent="0.25">
      <c r="A11" s="6">
        <v>6</v>
      </c>
      <c r="B11" s="6" t="s">
        <v>41</v>
      </c>
      <c r="C11" s="7">
        <v>7</v>
      </c>
      <c r="D11" s="7">
        <v>5</v>
      </c>
      <c r="E11" s="7"/>
      <c r="F11" s="8">
        <f>I11</f>
        <v>46164</v>
      </c>
      <c r="G11" s="8">
        <f>J11</f>
        <v>46170</v>
      </c>
      <c r="H11" s="9" t="s">
        <v>43</v>
      </c>
      <c r="I11" s="10">
        <v>46164</v>
      </c>
      <c r="J11" s="10">
        <v>46170</v>
      </c>
      <c r="K11" s="11">
        <f t="shared" si="2"/>
        <v>6</v>
      </c>
      <c r="L11" s="12">
        <f t="shared" si="3"/>
        <v>0</v>
      </c>
    </row>
    <row r="12" spans="1:53" x14ac:dyDescent="0.25">
      <c r="A12" s="6">
        <v>7</v>
      </c>
      <c r="B12" s="6" t="s">
        <v>42</v>
      </c>
      <c r="C12" s="7">
        <v>30</v>
      </c>
      <c r="D12" s="7">
        <v>6</v>
      </c>
      <c r="E12" s="7"/>
      <c r="F12" s="8">
        <f>$C$4</f>
        <v>46170</v>
      </c>
      <c r="G12" s="8">
        <f t="shared" ref="G12:G26" si="4">F12+C12</f>
        <v>46200</v>
      </c>
      <c r="H12" s="9" t="s">
        <v>43</v>
      </c>
      <c r="I12" s="10">
        <v>46176</v>
      </c>
      <c r="J12" s="10">
        <v>46206</v>
      </c>
      <c r="K12" s="11">
        <f t="shared" si="2"/>
        <v>30</v>
      </c>
      <c r="L12" s="12">
        <f t="shared" si="3"/>
        <v>6</v>
      </c>
      <c r="AX12" t="str">
        <f>A6&amp;". "&amp;B6</f>
        <v>1. Búsqueda de productos sugerencia en China</v>
      </c>
      <c r="AY12" s="15">
        <f>F6</f>
        <v>46108</v>
      </c>
      <c r="AZ12">
        <f>G6-F6</f>
        <v>13</v>
      </c>
      <c r="BA12">
        <v>0</v>
      </c>
    </row>
    <row r="13" spans="1:53" x14ac:dyDescent="0.25">
      <c r="A13" s="6">
        <v>8</v>
      </c>
      <c r="B13" s="6" t="s">
        <v>16</v>
      </c>
      <c r="C13" s="7">
        <v>10</v>
      </c>
      <c r="D13" s="7">
        <v>7</v>
      </c>
      <c r="E13" s="7"/>
      <c r="F13" s="8">
        <f t="shared" ref="F13:F21" si="5">IF($D13="",$C$4,IF($E13="II",INDEX($F$12:$F$26,MATCH($D13,$A$12:$A$26,0)),INDEX($G$12:$G$26,MATCH($D13,$A$12:$A$26,0))))</f>
        <v>46200</v>
      </c>
      <c r="G13" s="8">
        <f t="shared" si="4"/>
        <v>46210</v>
      </c>
      <c r="H13" s="9" t="s">
        <v>32</v>
      </c>
      <c r="I13" s="10">
        <v>46210</v>
      </c>
      <c r="J13" s="10"/>
      <c r="K13" s="11" t="str">
        <f t="shared" si="2"/>
        <v/>
      </c>
      <c r="L13" s="12" t="str">
        <f t="shared" si="3"/>
        <v/>
      </c>
      <c r="AX13" t="str">
        <f>"     "&amp;A6&amp;" · real"</f>
        <v xml:space="preserve">     1 · real</v>
      </c>
      <c r="AY13" s="15">
        <f>IF($I6="",$F6,$I6)</f>
        <v>46108</v>
      </c>
      <c r="AZ13">
        <v>0</v>
      </c>
      <c r="BA13">
        <f>IF($K6="",0,$K6)</f>
        <v>13</v>
      </c>
    </row>
    <row r="14" spans="1:53" x14ac:dyDescent="0.25">
      <c r="A14" s="6">
        <v>9</v>
      </c>
      <c r="B14" s="6" t="s">
        <v>17</v>
      </c>
      <c r="C14" s="7">
        <v>5</v>
      </c>
      <c r="D14" s="7">
        <v>8</v>
      </c>
      <c r="E14" s="7" t="s">
        <v>18</v>
      </c>
      <c r="F14" s="8">
        <f t="shared" si="5"/>
        <v>46210</v>
      </c>
      <c r="G14" s="8">
        <f t="shared" si="4"/>
        <v>46215</v>
      </c>
      <c r="H14" s="9" t="s">
        <v>15</v>
      </c>
      <c r="I14" s="10">
        <v>46228</v>
      </c>
      <c r="J14" s="10"/>
      <c r="K14" s="11" t="str">
        <f t="shared" si="2"/>
        <v/>
      </c>
      <c r="L14" s="12" t="str">
        <f t="shared" si="3"/>
        <v/>
      </c>
      <c r="AX14" t="str">
        <f>A7&amp;". "&amp;B7</f>
        <v>2. Presentación de sugerencias en crudo a Cloe</v>
      </c>
      <c r="AY14" s="15">
        <f>F7</f>
        <v>46121</v>
      </c>
      <c r="AZ14">
        <f>G7-F7</f>
        <v>6</v>
      </c>
      <c r="BA14">
        <v>0</v>
      </c>
    </row>
    <row r="15" spans="1:53" x14ac:dyDescent="0.25">
      <c r="A15" s="6">
        <v>10</v>
      </c>
      <c r="B15" s="6" t="s">
        <v>19</v>
      </c>
      <c r="C15" s="7">
        <v>12</v>
      </c>
      <c r="D15" s="7">
        <v>8</v>
      </c>
      <c r="E15" s="7" t="s">
        <v>18</v>
      </c>
      <c r="F15" s="8">
        <f t="shared" si="5"/>
        <v>46210</v>
      </c>
      <c r="G15" s="8">
        <f t="shared" si="4"/>
        <v>46222</v>
      </c>
      <c r="H15" s="9" t="s">
        <v>15</v>
      </c>
      <c r="I15" s="10">
        <v>46218</v>
      </c>
      <c r="J15" s="10"/>
      <c r="K15" s="11" t="str">
        <f t="shared" si="2"/>
        <v/>
      </c>
      <c r="L15" s="12" t="str">
        <f t="shared" si="3"/>
        <v/>
      </c>
      <c r="AX15" t="str">
        <f>"     "&amp;A7&amp;" · real"</f>
        <v xml:space="preserve">     2 · real</v>
      </c>
      <c r="AY15" s="15">
        <f>IF($I7="",$F7,$I7)</f>
        <v>46121</v>
      </c>
      <c r="AZ15">
        <v>0</v>
      </c>
      <c r="BA15">
        <f>IF($K7="",0,$K7)</f>
        <v>6</v>
      </c>
    </row>
    <row r="16" spans="1:53" x14ac:dyDescent="0.25">
      <c r="A16" s="6">
        <v>11</v>
      </c>
      <c r="B16" s="6" t="s">
        <v>20</v>
      </c>
      <c r="C16" s="7">
        <v>4</v>
      </c>
      <c r="D16" s="7">
        <v>10</v>
      </c>
      <c r="E16" s="7" t="s">
        <v>18</v>
      </c>
      <c r="F16" s="8">
        <f t="shared" si="5"/>
        <v>46222</v>
      </c>
      <c r="G16" s="8">
        <f t="shared" si="4"/>
        <v>46226</v>
      </c>
      <c r="H16" s="9" t="s">
        <v>15</v>
      </c>
      <c r="I16" s="10">
        <v>46228</v>
      </c>
      <c r="J16" s="10"/>
      <c r="K16" s="11" t="str">
        <f t="shared" si="2"/>
        <v/>
      </c>
      <c r="L16" s="12" t="str">
        <f t="shared" si="3"/>
        <v/>
      </c>
      <c r="AX16" t="str">
        <f>A8&amp;". "&amp;B8</f>
        <v>3. Búsqueda de más opciones / Mejorar cotizaciones</v>
      </c>
      <c r="AY16" s="15">
        <f>F8</f>
        <v>46127</v>
      </c>
      <c r="AZ16">
        <f>G8-F8</f>
        <v>17</v>
      </c>
      <c r="BA16">
        <v>0</v>
      </c>
    </row>
    <row r="17" spans="1:53" x14ac:dyDescent="0.25">
      <c r="A17" s="6">
        <v>12</v>
      </c>
      <c r="B17" s="6" t="s">
        <v>21</v>
      </c>
      <c r="C17" s="7">
        <v>7</v>
      </c>
      <c r="D17" s="7">
        <v>11</v>
      </c>
      <c r="E17" s="7" t="s">
        <v>18</v>
      </c>
      <c r="F17" s="8">
        <f t="shared" si="5"/>
        <v>46226</v>
      </c>
      <c r="G17" s="8">
        <f t="shared" si="4"/>
        <v>46233</v>
      </c>
      <c r="H17" s="9" t="s">
        <v>15</v>
      </c>
      <c r="I17" s="10">
        <v>46234</v>
      </c>
      <c r="J17" s="10"/>
      <c r="K17" s="11" t="str">
        <f t="shared" si="2"/>
        <v/>
      </c>
      <c r="L17" s="12" t="str">
        <f t="shared" si="3"/>
        <v/>
      </c>
      <c r="AX17" t="str">
        <f>"     "&amp;A8&amp;" · real"</f>
        <v xml:space="preserve">     3 · real</v>
      </c>
      <c r="AY17" s="15">
        <f>IF($I8="",$F8,$I8)</f>
        <v>46127</v>
      </c>
      <c r="AZ17">
        <v>0</v>
      </c>
      <c r="BA17">
        <f>IF($K8="",0,$K8)</f>
        <v>17</v>
      </c>
    </row>
    <row r="18" spans="1:53" x14ac:dyDescent="0.25">
      <c r="A18" s="6">
        <v>13</v>
      </c>
      <c r="B18" s="6" t="s">
        <v>22</v>
      </c>
      <c r="C18" s="7">
        <v>60</v>
      </c>
      <c r="D18" s="7">
        <v>11</v>
      </c>
      <c r="E18" s="7" t="s">
        <v>18</v>
      </c>
      <c r="F18" s="8">
        <f t="shared" si="5"/>
        <v>46226</v>
      </c>
      <c r="G18" s="8">
        <f t="shared" si="4"/>
        <v>46286</v>
      </c>
      <c r="H18" s="9" t="s">
        <v>15</v>
      </c>
      <c r="I18" s="10">
        <v>46237</v>
      </c>
      <c r="J18" s="10"/>
      <c r="K18" s="11" t="str">
        <f t="shared" si="2"/>
        <v/>
      </c>
      <c r="L18" s="12" t="str">
        <f t="shared" si="3"/>
        <v/>
      </c>
      <c r="AX18" t="str">
        <f>A9&amp;". "&amp;B9</f>
        <v>4. Render "Cloetización" de los productos</v>
      </c>
      <c r="AY18" s="15">
        <f>F9</f>
        <v>46127</v>
      </c>
      <c r="AZ18">
        <f>G9-F9</f>
        <v>20</v>
      </c>
      <c r="BA18">
        <v>0</v>
      </c>
    </row>
    <row r="19" spans="1:53" x14ac:dyDescent="0.25">
      <c r="A19" s="6">
        <v>14</v>
      </c>
      <c r="B19" s="6" t="s">
        <v>23</v>
      </c>
      <c r="C19" s="7">
        <v>30</v>
      </c>
      <c r="D19" s="7">
        <v>11</v>
      </c>
      <c r="E19" s="7" t="s">
        <v>18</v>
      </c>
      <c r="F19" s="8">
        <f t="shared" si="5"/>
        <v>46226</v>
      </c>
      <c r="G19" s="8">
        <f t="shared" si="4"/>
        <v>46256</v>
      </c>
      <c r="H19" s="9" t="s">
        <v>15</v>
      </c>
      <c r="I19" s="10">
        <v>46237</v>
      </c>
      <c r="J19" s="10"/>
      <c r="K19" s="11" t="str">
        <f t="shared" si="2"/>
        <v/>
      </c>
      <c r="L19" s="12" t="str">
        <f t="shared" si="3"/>
        <v/>
      </c>
      <c r="AX19" t="str">
        <f>"     "&amp;A9&amp;" · real"</f>
        <v xml:space="preserve">     4 · real</v>
      </c>
      <c r="AY19" s="15">
        <f>IF($I9="",$F9,$I9)</f>
        <v>46127</v>
      </c>
      <c r="AZ19">
        <v>0</v>
      </c>
      <c r="BA19">
        <f>IF($K9="",0,$K9)</f>
        <v>20</v>
      </c>
    </row>
    <row r="20" spans="1:53" x14ac:dyDescent="0.25">
      <c r="A20" s="6">
        <v>15</v>
      </c>
      <c r="B20" s="6" t="s">
        <v>24</v>
      </c>
      <c r="C20" s="7">
        <v>45</v>
      </c>
      <c r="D20" s="7">
        <v>13</v>
      </c>
      <c r="E20" s="7" t="s">
        <v>25</v>
      </c>
      <c r="F20" s="8">
        <f t="shared" si="5"/>
        <v>46226</v>
      </c>
      <c r="G20" s="8">
        <f t="shared" si="4"/>
        <v>46271</v>
      </c>
      <c r="H20" s="9" t="s">
        <v>15</v>
      </c>
      <c r="I20" s="10">
        <v>46280</v>
      </c>
      <c r="J20" s="10"/>
      <c r="K20" s="11" t="str">
        <f t="shared" si="2"/>
        <v/>
      </c>
      <c r="L20" s="12" t="str">
        <f t="shared" si="3"/>
        <v/>
      </c>
      <c r="AX20" t="str">
        <f>A10&amp;". "&amp;B10</f>
        <v>5. Presentación de renders / Modificaciones renders</v>
      </c>
      <c r="AY20" s="15">
        <f>F10</f>
        <v>46150</v>
      </c>
      <c r="AZ20">
        <f>G10-F10</f>
        <v>15</v>
      </c>
      <c r="BA20">
        <v>0</v>
      </c>
    </row>
    <row r="21" spans="1:53" x14ac:dyDescent="0.25">
      <c r="A21" s="6">
        <v>16</v>
      </c>
      <c r="B21" s="6" t="s">
        <v>26</v>
      </c>
      <c r="C21" s="7">
        <v>60</v>
      </c>
      <c r="D21" s="7">
        <v>13</v>
      </c>
      <c r="E21" s="7" t="s">
        <v>25</v>
      </c>
      <c r="F21" s="8">
        <f t="shared" si="5"/>
        <v>46226</v>
      </c>
      <c r="G21" s="8">
        <f t="shared" si="4"/>
        <v>46286</v>
      </c>
      <c r="H21" s="9" t="s">
        <v>15</v>
      </c>
      <c r="I21" s="10">
        <v>46237</v>
      </c>
      <c r="J21" s="10"/>
      <c r="K21" s="11" t="str">
        <f t="shared" si="2"/>
        <v/>
      </c>
      <c r="L21" s="12" t="str">
        <f t="shared" si="3"/>
        <v/>
      </c>
      <c r="AX21" t="str">
        <f>"     "&amp;A10&amp;" · real"</f>
        <v xml:space="preserve">     5 · real</v>
      </c>
      <c r="AY21" s="15">
        <f>IF($I10="",$F10,$I10)</f>
        <v>46150</v>
      </c>
      <c r="AZ21">
        <v>0</v>
      </c>
      <c r="BA21">
        <f>IF($K10="",0,$K10)</f>
        <v>15</v>
      </c>
    </row>
    <row r="22" spans="1:53" x14ac:dyDescent="0.25">
      <c r="A22" s="6">
        <v>17</v>
      </c>
      <c r="B22" s="6" t="s">
        <v>27</v>
      </c>
      <c r="C22" s="7">
        <v>7</v>
      </c>
      <c r="D22" s="7">
        <v>13</v>
      </c>
      <c r="E22" s="7"/>
      <c r="F22" s="8">
        <f>MAX($G$18,$G$19)</f>
        <v>46286</v>
      </c>
      <c r="G22" s="8">
        <f t="shared" si="4"/>
        <v>46293</v>
      </c>
      <c r="H22" s="9" t="s">
        <v>15</v>
      </c>
      <c r="I22" s="13" t="s">
        <v>36</v>
      </c>
      <c r="J22" s="10"/>
      <c r="K22" s="11" t="str">
        <f t="shared" si="2"/>
        <v/>
      </c>
      <c r="L22" s="12" t="str">
        <f t="shared" si="3"/>
        <v/>
      </c>
      <c r="AX22" t="str">
        <f>A11&amp;". "&amp;B11</f>
        <v>6. Aprobación de renders</v>
      </c>
      <c r="AY22" s="15">
        <f>F11</f>
        <v>46164</v>
      </c>
      <c r="AZ22">
        <f>G11-F11</f>
        <v>6</v>
      </c>
      <c r="BA22">
        <v>0</v>
      </c>
    </row>
    <row r="23" spans="1:53" x14ac:dyDescent="0.25">
      <c r="A23" s="6">
        <v>18</v>
      </c>
      <c r="B23" s="6" t="s">
        <v>28</v>
      </c>
      <c r="C23" s="7">
        <v>15</v>
      </c>
      <c r="D23" s="7">
        <v>17</v>
      </c>
      <c r="E23" s="7" t="s">
        <v>18</v>
      </c>
      <c r="F23" s="8">
        <f>IF($D23="",$C$4,IF($E23="II",INDEX($F$12:$F$26,MATCH($D23,$A$12:$A$26,0)),INDEX($G$12:$G$26,MATCH($D23,$A$12:$A$26,0))))</f>
        <v>46293</v>
      </c>
      <c r="G23" s="8">
        <f t="shared" si="4"/>
        <v>46308</v>
      </c>
      <c r="H23" s="9" t="s">
        <v>15</v>
      </c>
      <c r="I23" s="10"/>
      <c r="J23" s="10"/>
      <c r="K23" s="11" t="str">
        <f t="shared" si="2"/>
        <v/>
      </c>
      <c r="L23" s="12" t="str">
        <f t="shared" si="3"/>
        <v/>
      </c>
      <c r="AX23" t="str">
        <f>"     "&amp;A11&amp;" · real"</f>
        <v xml:space="preserve">     6 · real</v>
      </c>
      <c r="AY23" s="15">
        <f>IF($I11="",$F11,$I11)</f>
        <v>46164</v>
      </c>
      <c r="AZ23">
        <v>0</v>
      </c>
      <c r="BA23">
        <f>IF($K11="",0,$K11)</f>
        <v>6</v>
      </c>
    </row>
    <row r="24" spans="1:53" x14ac:dyDescent="0.25">
      <c r="A24" s="6">
        <v>19</v>
      </c>
      <c r="B24" s="6" t="s">
        <v>29</v>
      </c>
      <c r="C24" s="7">
        <v>35</v>
      </c>
      <c r="D24" s="7">
        <v>18</v>
      </c>
      <c r="E24" s="7" t="s">
        <v>18</v>
      </c>
      <c r="F24" s="8">
        <f>IF($D24="",$C$4,IF($E24="II",INDEX($F$12:$F$26,MATCH($D24,$A$12:$A$26,0)),INDEX($G$12:$G$26,MATCH($D24,$A$12:$A$26,0))))</f>
        <v>46308</v>
      </c>
      <c r="G24" s="8">
        <f t="shared" si="4"/>
        <v>46343</v>
      </c>
      <c r="H24" s="9" t="s">
        <v>15</v>
      </c>
      <c r="I24" s="10"/>
      <c r="J24" s="10"/>
      <c r="K24" s="11" t="str">
        <f t="shared" si="2"/>
        <v/>
      </c>
      <c r="L24" s="12" t="str">
        <f t="shared" si="3"/>
        <v/>
      </c>
      <c r="AX24" t="str">
        <f>A12&amp;". "&amp;B12</f>
        <v>7. Producción de muestras en China</v>
      </c>
      <c r="AY24" s="15">
        <f>F12</f>
        <v>46170</v>
      </c>
      <c r="AZ24">
        <f>G12-F12</f>
        <v>30</v>
      </c>
      <c r="BA24">
        <v>0</v>
      </c>
    </row>
    <row r="25" spans="1:53" x14ac:dyDescent="0.25">
      <c r="A25" s="6">
        <v>20</v>
      </c>
      <c r="B25" s="6" t="s">
        <v>30</v>
      </c>
      <c r="C25" s="7">
        <v>10</v>
      </c>
      <c r="D25" s="7">
        <v>19</v>
      </c>
      <c r="E25" s="7" t="s">
        <v>18</v>
      </c>
      <c r="F25" s="8">
        <f>IF($D25="",$C$4,IF($E25="II",INDEX($F$12:$F$26,MATCH($D25,$A$12:$A$26,0)),INDEX($G$12:$G$26,MATCH($D25,$A$12:$A$26,0))))</f>
        <v>46343</v>
      </c>
      <c r="G25" s="8">
        <f t="shared" si="4"/>
        <v>46353</v>
      </c>
      <c r="H25" s="9" t="s">
        <v>15</v>
      </c>
      <c r="I25" s="10"/>
      <c r="J25" s="10"/>
      <c r="K25" s="11" t="str">
        <f t="shared" si="2"/>
        <v/>
      </c>
      <c r="L25" s="12" t="str">
        <f t="shared" si="3"/>
        <v/>
      </c>
      <c r="AX25" t="str">
        <f>"     "&amp;A12&amp;" · real"</f>
        <v xml:space="preserve">     7 · real</v>
      </c>
      <c r="AY25" s="15">
        <f>IF($I12="",$F12,$I12)</f>
        <v>46176</v>
      </c>
      <c r="AZ25">
        <v>0</v>
      </c>
      <c r="BA25">
        <f>IF($K12="",0,$K12)</f>
        <v>30</v>
      </c>
    </row>
    <row r="26" spans="1:53" x14ac:dyDescent="0.25">
      <c r="A26" s="6">
        <v>21</v>
      </c>
      <c r="B26" s="6" t="s">
        <v>31</v>
      </c>
      <c r="C26" s="7">
        <v>1</v>
      </c>
      <c r="D26" s="7">
        <v>20</v>
      </c>
      <c r="E26" s="7" t="s">
        <v>18</v>
      </c>
      <c r="F26" s="8">
        <f>IF($D26="",$C$4,IF($E26="II",INDEX($F$12:$F$26,MATCH($D26,$A$12:$A$26,0)),INDEX($G$12:$G$26,MATCH($D26,$A$12:$A$26,0))))</f>
        <v>46353</v>
      </c>
      <c r="G26" s="8">
        <f t="shared" si="4"/>
        <v>46354</v>
      </c>
      <c r="H26" s="9" t="s">
        <v>15</v>
      </c>
      <c r="I26" s="10" t="s">
        <v>37</v>
      </c>
      <c r="J26" s="10"/>
      <c r="K26" s="11" t="str">
        <f t="shared" si="2"/>
        <v/>
      </c>
      <c r="L26" s="12" t="str">
        <f t="shared" si="3"/>
        <v/>
      </c>
      <c r="AX26" t="str">
        <f>A13&amp;". "&amp;B13</f>
        <v>8. Courier a Mexico</v>
      </c>
      <c r="AY26" s="15">
        <f>F13</f>
        <v>46200</v>
      </c>
      <c r="AZ26">
        <f>G13-F13</f>
        <v>10</v>
      </c>
      <c r="BA26">
        <v>0</v>
      </c>
    </row>
    <row r="27" spans="1:53" x14ac:dyDescent="0.25">
      <c r="AX27" t="str">
        <f>"     "&amp;A13&amp;" · real"</f>
        <v xml:space="preserve">     8 · real</v>
      </c>
      <c r="AY27" s="15">
        <f>IF($I13="",$F13,$I13)</f>
        <v>46210</v>
      </c>
      <c r="AZ27">
        <v>0</v>
      </c>
      <c r="BA27">
        <f>IF($K13="",0,$K13)</f>
        <v>0</v>
      </c>
    </row>
    <row r="28" spans="1:53" x14ac:dyDescent="0.25">
      <c r="AX28" t="str">
        <f>A14&amp;". "&amp;B14</f>
        <v>9. DEADLINE aprobación Cloé (confirmación muestra final)</v>
      </c>
      <c r="AY28" s="15">
        <f>F14</f>
        <v>46210</v>
      </c>
      <c r="AZ28">
        <f>G14-F14</f>
        <v>5</v>
      </c>
      <c r="BA28">
        <v>0</v>
      </c>
    </row>
    <row r="29" spans="1:53" x14ac:dyDescent="0.25">
      <c r="AX29" t="str">
        <f>"     "&amp;A14&amp;" · real"</f>
        <v xml:space="preserve">     9 · real</v>
      </c>
      <c r="AY29" s="15">
        <f>IF($I14="",$F14,$I14)</f>
        <v>46228</v>
      </c>
      <c r="AZ29">
        <v>0</v>
      </c>
      <c r="BA29">
        <f>IF($K14="",0,$K14)</f>
        <v>0</v>
      </c>
    </row>
    <row r="30" spans="1:53" x14ac:dyDescent="0.25">
      <c r="AX30" t="str">
        <f>A15&amp;". "&amp;B15</f>
        <v>10. Reunión con Comité y entrega de muestras</v>
      </c>
      <c r="AY30" s="15">
        <f>F15</f>
        <v>46210</v>
      </c>
      <c r="AZ30">
        <f>G15-F15</f>
        <v>12</v>
      </c>
      <c r="BA30">
        <v>0</v>
      </c>
    </row>
    <row r="31" spans="1:53" x14ac:dyDescent="0.25">
      <c r="AX31" t="str">
        <f>"     "&amp;A15&amp;" · real"</f>
        <v xml:space="preserve">     10 · real</v>
      </c>
      <c r="AY31" s="15">
        <f>IF($I15="",$F15,$I15)</f>
        <v>46218</v>
      </c>
      <c r="AZ31">
        <v>0</v>
      </c>
      <c r="BA31">
        <f>IF($K15="",0,$K15)</f>
        <v>0</v>
      </c>
    </row>
    <row r="32" spans="1:53" x14ac:dyDescent="0.25">
      <c r="AX32" t="str">
        <f>A16&amp;". "&amp;B16</f>
        <v>11. Confirmación de muestras y packaging</v>
      </c>
      <c r="AY32" s="15">
        <f>F16</f>
        <v>46222</v>
      </c>
      <c r="AZ32">
        <f>G16-F16</f>
        <v>4</v>
      </c>
      <c r="BA32">
        <v>0</v>
      </c>
    </row>
    <row r="33" spans="50:53" x14ac:dyDescent="0.25">
      <c r="AX33" t="str">
        <f>"     "&amp;A16&amp;" · real"</f>
        <v xml:space="preserve">     11 · real</v>
      </c>
      <c r="AY33" s="15">
        <f>IF($I16="",$F16,$I16)</f>
        <v>46228</v>
      </c>
      <c r="AZ33">
        <v>0</v>
      </c>
      <c r="BA33">
        <f>IF($K16="",0,$K16)</f>
        <v>0</v>
      </c>
    </row>
    <row r="34" spans="50:53" x14ac:dyDescent="0.25">
      <c r="AX34" t="str">
        <f>A17&amp;". "&amp;B17</f>
        <v>12. Master Cloé (modelo &amp; upc)</v>
      </c>
      <c r="AY34" s="15">
        <f>F17</f>
        <v>46226</v>
      </c>
      <c r="AZ34">
        <f>G17-F17</f>
        <v>7</v>
      </c>
      <c r="BA34">
        <v>0</v>
      </c>
    </row>
    <row r="35" spans="50:53" x14ac:dyDescent="0.25">
      <c r="AX35" t="str">
        <f>"     "&amp;A17&amp;" · real"</f>
        <v xml:space="preserve">     12 · real</v>
      </c>
      <c r="AY35" s="15">
        <f>IF($I17="",$F17,$I17)</f>
        <v>46234</v>
      </c>
      <c r="AZ35">
        <v>0</v>
      </c>
      <c r="BA35">
        <f>IF($K17="",0,$K17)</f>
        <v>0</v>
      </c>
    </row>
    <row r="36" spans="50:53" x14ac:dyDescent="0.25">
      <c r="AX36" t="str">
        <f>A18&amp;". "&amp;B18</f>
        <v>13. Producción de producto</v>
      </c>
      <c r="AY36" s="15">
        <f>F18</f>
        <v>46226</v>
      </c>
      <c r="AZ36">
        <f>G18-F18</f>
        <v>60</v>
      </c>
      <c r="BA36">
        <v>0</v>
      </c>
    </row>
    <row r="37" spans="50:53" x14ac:dyDescent="0.25">
      <c r="AX37" t="str">
        <f>"     "&amp;A18&amp;" · real"</f>
        <v xml:space="preserve">     13 · real</v>
      </c>
      <c r="AY37" s="15">
        <f>IF($I18="",$F18,$I18)</f>
        <v>46237</v>
      </c>
      <c r="AZ37">
        <v>0</v>
      </c>
      <c r="BA37">
        <f>IF($K18="",0,$K18)</f>
        <v>0</v>
      </c>
    </row>
    <row r="38" spans="50:53" x14ac:dyDescent="0.25">
      <c r="AX38" t="str">
        <f>A19&amp;". "&amp;B19</f>
        <v>14. Producción de packaging</v>
      </c>
      <c r="AY38" s="15">
        <f>F19</f>
        <v>46226</v>
      </c>
      <c r="AZ38">
        <f>G19-F19</f>
        <v>30</v>
      </c>
      <c r="BA38">
        <v>0</v>
      </c>
    </row>
    <row r="39" spans="50:53" x14ac:dyDescent="0.25">
      <c r="AX39" t="str">
        <f>"     "&amp;A19&amp;" · real"</f>
        <v xml:space="preserve">     14 · real</v>
      </c>
      <c r="AY39" s="15">
        <f>IF($I19="",$F19,$I19)</f>
        <v>46237</v>
      </c>
      <c r="AZ39">
        <v>0</v>
      </c>
      <c r="BA39">
        <f>IF($K19="",0,$K19)</f>
        <v>0</v>
      </c>
    </row>
    <row r="40" spans="50:53" x14ac:dyDescent="0.25">
      <c r="AX40" t="str">
        <f>A20&amp;". "&amp;B20</f>
        <v>15. Muestras de producción a México (fotografía)</v>
      </c>
      <c r="AY40" s="15">
        <f>F20</f>
        <v>46226</v>
      </c>
      <c r="AZ40">
        <f>G20-F20</f>
        <v>45</v>
      </c>
      <c r="BA40">
        <v>0</v>
      </c>
    </row>
    <row r="41" spans="50:53" x14ac:dyDescent="0.25">
      <c r="AX41" t="str">
        <f>"     "&amp;A20&amp;" · real"</f>
        <v xml:space="preserve">     15 · real</v>
      </c>
      <c r="AY41" s="15">
        <f>IF($I20="",$F20,$I20)</f>
        <v>46280</v>
      </c>
      <c r="AZ41">
        <v>0</v>
      </c>
      <c r="BA41">
        <f>IF($K20="",0,$K20)</f>
        <v>0</v>
      </c>
    </row>
    <row r="42" spans="50:53" x14ac:dyDescent="0.25">
      <c r="AX42" t="str">
        <f>A21&amp;". "&amp;B21</f>
        <v>16. Gestión proveedores Cloé</v>
      </c>
      <c r="AY42" s="15">
        <f>F21</f>
        <v>46226</v>
      </c>
      <c r="AZ42">
        <f>G21-F21</f>
        <v>60</v>
      </c>
      <c r="BA42">
        <v>0</v>
      </c>
    </row>
    <row r="43" spans="50:53" x14ac:dyDescent="0.25">
      <c r="AX43" t="str">
        <f>"     "&amp;A21&amp;" · real"</f>
        <v xml:space="preserve">     16 · real</v>
      </c>
      <c r="AY43" s="15">
        <f>IF($I21="",$F21,$I21)</f>
        <v>46237</v>
      </c>
      <c r="AZ43">
        <v>0</v>
      </c>
      <c r="BA43">
        <f>IF($K21="",0,$K21)</f>
        <v>0</v>
      </c>
    </row>
    <row r="44" spans="50:53" x14ac:dyDescent="0.25">
      <c r="AX44" t="str">
        <f>A22&amp;". "&amp;B22</f>
        <v>17. Inspección</v>
      </c>
      <c r="AY44" s="15">
        <f>F22</f>
        <v>46286</v>
      </c>
      <c r="AZ44">
        <f>G22-F22</f>
        <v>7</v>
      </c>
      <c r="BA44">
        <v>0</v>
      </c>
    </row>
    <row r="45" spans="50:53" x14ac:dyDescent="0.25">
      <c r="AX45" t="str">
        <f>"     "&amp;A22&amp;" · real"</f>
        <v xml:space="preserve">     17 · real</v>
      </c>
      <c r="AY45" s="15" t="str">
        <f>IF($I22="",$F22,$I22)</f>
        <v>Golden week? Antes o despues del 1 al 10 Octubre</v>
      </c>
      <c r="AZ45">
        <v>0</v>
      </c>
      <c r="BA45">
        <f>IF($K22="",0,$K22)</f>
        <v>0</v>
      </c>
    </row>
    <row r="46" spans="50:53" x14ac:dyDescent="0.25">
      <c r="AX46" t="str">
        <f>A23&amp;". "&amp;B23</f>
        <v>18. Orden terminada + CUT OFF + tiempos puerto</v>
      </c>
      <c r="AY46" s="15">
        <f>F23</f>
        <v>46293</v>
      </c>
      <c r="AZ46">
        <f>G23-F23</f>
        <v>15</v>
      </c>
      <c r="BA46">
        <v>0</v>
      </c>
    </row>
    <row r="47" spans="50:53" x14ac:dyDescent="0.25">
      <c r="AX47" t="str">
        <f>"     "&amp;A23&amp;" · real"</f>
        <v xml:space="preserve">     18 · real</v>
      </c>
      <c r="AY47" s="15">
        <f>IF($I23="",$F23,$I23)</f>
        <v>46293</v>
      </c>
      <c r="AZ47">
        <v>0</v>
      </c>
      <c r="BA47">
        <f>IF($K23="",0,$K23)</f>
        <v>0</v>
      </c>
    </row>
    <row r="48" spans="50:53" x14ac:dyDescent="0.25">
      <c r="AX48" t="str">
        <f>A24&amp;". "&amp;B24</f>
        <v>19. Tránsito marítimo</v>
      </c>
      <c r="AY48" s="15">
        <f>F24</f>
        <v>46308</v>
      </c>
      <c r="AZ48">
        <f>G24-F24</f>
        <v>35</v>
      </c>
      <c r="BA48">
        <v>0</v>
      </c>
    </row>
    <row r="49" spans="50:53" x14ac:dyDescent="0.25">
      <c r="AX49" t="str">
        <f>"     "&amp;A24&amp;" · real"</f>
        <v xml:space="preserve">     19 · real</v>
      </c>
      <c r="AY49" s="15">
        <f>IF($I24="",$F24,$I24)</f>
        <v>46308</v>
      </c>
      <c r="AZ49">
        <v>0</v>
      </c>
      <c r="BA49">
        <f>IF($K24="",0,$K24)</f>
        <v>0</v>
      </c>
    </row>
    <row r="50" spans="50:53" x14ac:dyDescent="0.25">
      <c r="AX50" t="str">
        <f>A25&amp;". "&amp;B25</f>
        <v>20. Aduana México</v>
      </c>
      <c r="AY50" s="15">
        <f>F25</f>
        <v>46343</v>
      </c>
      <c r="AZ50">
        <f>G25-F25</f>
        <v>10</v>
      </c>
      <c r="BA50">
        <v>0</v>
      </c>
    </row>
    <row r="51" spans="50:53" x14ac:dyDescent="0.25">
      <c r="AX51" t="str">
        <f>"     "&amp;A25&amp;" · real"</f>
        <v xml:space="preserve">     20 · real</v>
      </c>
      <c r="AY51" s="15">
        <f>IF($I25="",$F25,$I25)</f>
        <v>46343</v>
      </c>
      <c r="AZ51">
        <v>0</v>
      </c>
      <c r="BA51">
        <f>IF($K25="",0,$K25)</f>
        <v>0</v>
      </c>
    </row>
    <row r="52" spans="50:53" x14ac:dyDescent="0.25">
      <c r="AX52" t="str">
        <f>A26&amp;". "&amp;B26</f>
        <v>21. Lanzamiento</v>
      </c>
      <c r="AY52" s="15">
        <f>F26</f>
        <v>46353</v>
      </c>
      <c r="AZ52">
        <f>G26-F26</f>
        <v>1</v>
      </c>
      <c r="BA52">
        <v>0</v>
      </c>
    </row>
    <row r="53" spans="50:53" x14ac:dyDescent="0.25">
      <c r="AX53" t="str">
        <f>"     "&amp;A26&amp;" · real"</f>
        <v xml:space="preserve">     21 · real</v>
      </c>
      <c r="AY53" s="15" t="str">
        <f>IF($I26="",$F26,$I26)</f>
        <v>Noviembre</v>
      </c>
      <c r="AZ53">
        <v>0</v>
      </c>
      <c r="BA53">
        <f>IF($K26="",0,$K26)</f>
        <v>0</v>
      </c>
    </row>
  </sheetData>
  <mergeCells count="1">
    <mergeCell ref="A3:L3"/>
  </mergeCells>
  <conditionalFormatting sqref="B12:L26">
    <cfRule type="expression" dxfId="41" priority="9">
      <formula>AND($H12&lt;&gt;"Completada",$G12&lt;&gt;"",$G12&lt;TODAY())</formula>
    </cfRule>
  </conditionalFormatting>
  <conditionalFormatting sqref="H6:H26">
    <cfRule type="expression" dxfId="40" priority="10">
      <formula>$H6="Completada"</formula>
    </cfRule>
    <cfRule type="expression" dxfId="39" priority="11">
      <formula>$H6="En curso"</formula>
    </cfRule>
    <cfRule type="expression" dxfId="38" priority="12">
      <formula>$H6="Pendiente"</formula>
    </cfRule>
  </conditionalFormatting>
  <conditionalFormatting sqref="L6:L26">
    <cfRule type="cellIs" dxfId="37" priority="17" operator="greaterThan">
      <formula>0</formula>
    </cfRule>
    <cfRule type="cellIs" dxfId="36" priority="18" operator="lessThan">
      <formula>0</formula>
    </cfRule>
  </conditionalFormatting>
  <conditionalFormatting sqref="B6:J11">
    <cfRule type="expression" dxfId="35" priority="8">
      <formula>AND($H6&lt;&gt;"Completada",$G6&lt;&gt;"",$G6&lt;TODAY())</formula>
    </cfRule>
  </conditionalFormatting>
  <conditionalFormatting sqref="H6:H11">
    <cfRule type="expression" dxfId="34" priority="7">
      <formula>AND($H6&lt;&gt;"Completada",$G6&lt;&gt;"",$G6&lt;TODAY())</formula>
    </cfRule>
  </conditionalFormatting>
  <conditionalFormatting sqref="K6:L6">
    <cfRule type="expression" dxfId="33" priority="6">
      <formula>AND($H6&lt;&gt;"Completada",$G6&lt;&gt;"",$G6&lt;TODAY())</formula>
    </cfRule>
  </conditionalFormatting>
  <conditionalFormatting sqref="K7:L7">
    <cfRule type="expression" dxfId="32" priority="5">
      <formula>AND($H7&lt;&gt;"Completada",$G7&lt;&gt;"",$G7&lt;TODAY())</formula>
    </cfRule>
  </conditionalFormatting>
  <conditionalFormatting sqref="K8:L8">
    <cfRule type="expression" dxfId="31" priority="4">
      <formula>AND($H8&lt;&gt;"Completada",$G8&lt;&gt;"",$G8&lt;TODAY())</formula>
    </cfRule>
  </conditionalFormatting>
  <conditionalFormatting sqref="K9:L9">
    <cfRule type="expression" dxfId="30" priority="3">
      <formula>AND($H9&lt;&gt;"Completada",$G9&lt;&gt;"",$G9&lt;TODAY())</formula>
    </cfRule>
  </conditionalFormatting>
  <conditionalFormatting sqref="K10:L10">
    <cfRule type="expression" dxfId="29" priority="2">
      <formula>AND($H10&lt;&gt;"Completada",$G10&lt;&gt;"",$G10&lt;TODAY())</formula>
    </cfRule>
  </conditionalFormatting>
  <conditionalFormatting sqref="K11:L11">
    <cfRule type="expression" dxfId="28" priority="1">
      <formula>AND($H11&lt;&gt;"Completada",$G11&lt;&gt;"",$G11&lt;TODAY())</formula>
    </cfRule>
  </conditionalFormatting>
  <dataValidations count="1">
    <dataValidation type="list" allowBlank="1" sqref="H6:H26" xr:uid="{277A1399-8FC1-4EBF-8863-D91E65189487}">
      <formula1>"Pendiente,En curso,Completada"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A50E-BAA2-49EA-9B9F-CB07C0596DD2}">
  <dimension ref="A1:BA53"/>
  <sheetViews>
    <sheetView showGridLines="0" zoomScale="110" zoomScaleNormal="110" workbookViewId="0">
      <selection activeCell="A12" sqref="A12:XFD12"/>
    </sheetView>
  </sheetViews>
  <sheetFormatPr defaultColWidth="8.5703125" defaultRowHeight="15" x14ac:dyDescent="0.25"/>
  <cols>
    <col min="1" max="1" width="4.42578125" customWidth="1"/>
    <col min="2" max="2" width="43.140625" customWidth="1"/>
    <col min="3" max="3" width="10.7109375" customWidth="1"/>
    <col min="4" max="4" width="24" customWidth="1"/>
    <col min="5" max="5" width="8.5703125" customWidth="1"/>
    <col min="6" max="6" width="12" customWidth="1"/>
    <col min="7" max="7" width="11.85546875" customWidth="1"/>
    <col min="8" max="12" width="13" customWidth="1"/>
    <col min="13" max="13" width="2" customWidth="1"/>
    <col min="14" max="14" width="3.42578125" customWidth="1"/>
    <col min="45" max="45" width="10.85546875" customWidth="1"/>
  </cols>
  <sheetData>
    <row r="1" spans="1:53" ht="18" customHeight="1" x14ac:dyDescent="0.3">
      <c r="A1" s="1" t="s">
        <v>34</v>
      </c>
    </row>
    <row r="3" spans="1:53" x14ac:dyDescent="0.25">
      <c r="A3" s="14" t="s">
        <v>35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53" x14ac:dyDescent="0.25">
      <c r="B4" s="2" t="s">
        <v>33</v>
      </c>
      <c r="C4" s="3">
        <v>46170</v>
      </c>
      <c r="I4" s="2" t="s">
        <v>0</v>
      </c>
      <c r="J4" s="3">
        <f ca="1">TODAY()</f>
        <v>46210</v>
      </c>
    </row>
    <row r="5" spans="1:53" x14ac:dyDescent="0.25">
      <c r="A5" s="4" t="s">
        <v>1</v>
      </c>
      <c r="B5" s="5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  <c r="H5" s="4" t="s">
        <v>8</v>
      </c>
      <c r="I5" s="4" t="s">
        <v>9</v>
      </c>
      <c r="J5" s="4" t="s">
        <v>10</v>
      </c>
      <c r="K5" s="4" t="s">
        <v>11</v>
      </c>
      <c r="L5" s="4" t="s">
        <v>12</v>
      </c>
      <c r="AX5" t="s">
        <v>2</v>
      </c>
      <c r="AY5" t="s">
        <v>6</v>
      </c>
      <c r="AZ5" t="s">
        <v>13</v>
      </c>
      <c r="BA5" t="s">
        <v>14</v>
      </c>
    </row>
    <row r="6" spans="1:53" x14ac:dyDescent="0.25">
      <c r="A6" s="6">
        <v>1</v>
      </c>
      <c r="B6" s="6" t="s">
        <v>38</v>
      </c>
      <c r="C6" s="7">
        <v>15</v>
      </c>
      <c r="D6" s="7"/>
      <c r="E6" s="7"/>
      <c r="F6" s="8">
        <f>I6</f>
        <v>46108</v>
      </c>
      <c r="G6" s="8">
        <f>J6</f>
        <v>46121</v>
      </c>
      <c r="H6" s="9" t="s">
        <v>43</v>
      </c>
      <c r="I6" s="10">
        <v>46108</v>
      </c>
      <c r="J6" s="10">
        <v>46121</v>
      </c>
      <c r="K6" s="11">
        <f>IF(OR($I6="",$J6=""),"",$J6-$I6)</f>
        <v>13</v>
      </c>
      <c r="L6" s="12">
        <f>IF($J6="","",$J6-$G6)</f>
        <v>0</v>
      </c>
    </row>
    <row r="7" spans="1:53" x14ac:dyDescent="0.25">
      <c r="A7" s="6">
        <v>2</v>
      </c>
      <c r="B7" s="6" t="s">
        <v>39</v>
      </c>
      <c r="C7" s="7">
        <v>7</v>
      </c>
      <c r="D7" s="7">
        <v>1</v>
      </c>
      <c r="E7" s="7"/>
      <c r="F7" s="8">
        <f>I7</f>
        <v>46121</v>
      </c>
      <c r="G7" s="8">
        <f>J7</f>
        <v>46127</v>
      </c>
      <c r="H7" s="9" t="s">
        <v>43</v>
      </c>
      <c r="I7" s="10">
        <v>46121</v>
      </c>
      <c r="J7" s="10">
        <v>46127</v>
      </c>
      <c r="K7" s="11">
        <f t="shared" ref="K7:K26" si="0">IF(OR($I7="",$J7=""),"",$J7-$I7)</f>
        <v>6</v>
      </c>
      <c r="L7" s="12">
        <f t="shared" ref="L7:L26" si="1">IF($J7="","",$J7-$G7)</f>
        <v>0</v>
      </c>
    </row>
    <row r="8" spans="1:53" x14ac:dyDescent="0.25">
      <c r="A8" s="6">
        <v>3</v>
      </c>
      <c r="B8" s="6" t="s">
        <v>44</v>
      </c>
      <c r="C8" s="7">
        <v>10</v>
      </c>
      <c r="D8" s="7">
        <v>2</v>
      </c>
      <c r="E8" s="7"/>
      <c r="F8" s="8">
        <f>I8</f>
        <v>46127</v>
      </c>
      <c r="G8" s="8">
        <f>J8</f>
        <v>46144</v>
      </c>
      <c r="H8" s="9" t="s">
        <v>43</v>
      </c>
      <c r="I8" s="10">
        <v>46127</v>
      </c>
      <c r="J8" s="10">
        <v>46144</v>
      </c>
      <c r="K8" s="11">
        <f t="shared" si="0"/>
        <v>17</v>
      </c>
      <c r="L8" s="12">
        <f t="shared" si="1"/>
        <v>0</v>
      </c>
    </row>
    <row r="9" spans="1:53" x14ac:dyDescent="0.25">
      <c r="A9" s="6">
        <v>4</v>
      </c>
      <c r="B9" s="6" t="s">
        <v>40</v>
      </c>
      <c r="C9" s="7">
        <v>15</v>
      </c>
      <c r="D9" s="7">
        <v>2</v>
      </c>
      <c r="E9" s="7"/>
      <c r="F9" s="8">
        <f>I9</f>
        <v>46127</v>
      </c>
      <c r="G9" s="8">
        <f>J9</f>
        <v>46147</v>
      </c>
      <c r="H9" s="9" t="s">
        <v>43</v>
      </c>
      <c r="I9" s="10">
        <v>46127</v>
      </c>
      <c r="J9" s="10">
        <v>46147</v>
      </c>
      <c r="K9" s="11">
        <f t="shared" si="0"/>
        <v>20</v>
      </c>
      <c r="L9" s="12">
        <f t="shared" si="1"/>
        <v>0</v>
      </c>
    </row>
    <row r="10" spans="1:53" x14ac:dyDescent="0.25">
      <c r="A10" s="6">
        <v>5</v>
      </c>
      <c r="B10" s="6" t="s">
        <v>45</v>
      </c>
      <c r="C10" s="7">
        <v>15</v>
      </c>
      <c r="D10" s="7">
        <v>4</v>
      </c>
      <c r="E10" s="7"/>
      <c r="F10" s="8">
        <f>I10</f>
        <v>46150</v>
      </c>
      <c r="G10" s="8">
        <f>J10</f>
        <v>46165</v>
      </c>
      <c r="H10" s="9" t="s">
        <v>43</v>
      </c>
      <c r="I10" s="10">
        <v>46150</v>
      </c>
      <c r="J10" s="10">
        <v>46165</v>
      </c>
      <c r="K10" s="11">
        <f t="shared" si="0"/>
        <v>15</v>
      </c>
      <c r="L10" s="12">
        <f t="shared" si="1"/>
        <v>0</v>
      </c>
    </row>
    <row r="11" spans="1:53" x14ac:dyDescent="0.25">
      <c r="A11" s="6">
        <v>6</v>
      </c>
      <c r="B11" s="6" t="s">
        <v>41</v>
      </c>
      <c r="C11" s="7">
        <v>7</v>
      </c>
      <c r="D11" s="7">
        <v>5</v>
      </c>
      <c r="E11" s="7"/>
      <c r="F11" s="8">
        <f>I11</f>
        <v>46164</v>
      </c>
      <c r="G11" s="8">
        <f>J11</f>
        <v>46170</v>
      </c>
      <c r="H11" s="9" t="s">
        <v>43</v>
      </c>
      <c r="I11" s="10">
        <v>46164</v>
      </c>
      <c r="J11" s="10">
        <v>46170</v>
      </c>
      <c r="K11" s="11">
        <f t="shared" si="0"/>
        <v>6</v>
      </c>
      <c r="L11" s="12">
        <f t="shared" si="1"/>
        <v>0</v>
      </c>
    </row>
    <row r="12" spans="1:53" x14ac:dyDescent="0.25">
      <c r="A12" s="6">
        <v>7</v>
      </c>
      <c r="B12" s="6" t="s">
        <v>42</v>
      </c>
      <c r="C12" s="7">
        <v>30</v>
      </c>
      <c r="D12" s="7">
        <v>6</v>
      </c>
      <c r="E12" s="7"/>
      <c r="F12" s="8">
        <f>$C$4</f>
        <v>46170</v>
      </c>
      <c r="G12" s="8">
        <f t="shared" ref="G12:G26" si="2">F12+C12</f>
        <v>46200</v>
      </c>
      <c r="H12" s="9" t="s">
        <v>43</v>
      </c>
      <c r="I12" s="10">
        <v>46176</v>
      </c>
      <c r="J12" s="10">
        <v>46206</v>
      </c>
      <c r="K12" s="11">
        <f t="shared" si="0"/>
        <v>30</v>
      </c>
      <c r="L12" s="12">
        <f t="shared" si="1"/>
        <v>6</v>
      </c>
      <c r="AX12" t="str">
        <f>A6&amp;". "&amp;B6</f>
        <v>1. Búsqueda de productos sugerencia en China</v>
      </c>
      <c r="AY12" s="15">
        <f>F6</f>
        <v>46108</v>
      </c>
      <c r="AZ12">
        <f>G6-F6</f>
        <v>13</v>
      </c>
      <c r="BA12">
        <v>0</v>
      </c>
    </row>
    <row r="13" spans="1:53" x14ac:dyDescent="0.25">
      <c r="A13" s="6">
        <v>8</v>
      </c>
      <c r="B13" s="6" t="s">
        <v>16</v>
      </c>
      <c r="C13" s="7">
        <v>10</v>
      </c>
      <c r="D13" s="7">
        <v>7</v>
      </c>
      <c r="E13" s="7"/>
      <c r="F13" s="8">
        <f t="shared" ref="F13:F21" si="3">IF($D13="",$C$4,IF($E13="II",INDEX($F$12:$F$26,MATCH($D13,$A$12:$A$26,0)),INDEX($G$12:$G$26,MATCH($D13,$A$12:$A$26,0))))</f>
        <v>46200</v>
      </c>
      <c r="G13" s="8">
        <f t="shared" si="2"/>
        <v>46210</v>
      </c>
      <c r="H13" s="9" t="s">
        <v>32</v>
      </c>
      <c r="I13" s="10">
        <v>46210</v>
      </c>
      <c r="J13" s="10"/>
      <c r="K13" s="11" t="str">
        <f t="shared" si="0"/>
        <v/>
      </c>
      <c r="L13" s="12" t="str">
        <f t="shared" si="1"/>
        <v/>
      </c>
      <c r="AX13" t="str">
        <f>"     "&amp;A6&amp;" · real"</f>
        <v xml:space="preserve">     1 · real</v>
      </c>
      <c r="AY13" s="15">
        <f>IF($I6="",$F6,$I6)</f>
        <v>46108</v>
      </c>
      <c r="AZ13">
        <v>0</v>
      </c>
      <c r="BA13">
        <f>IF($K6="",0,$K6)</f>
        <v>13</v>
      </c>
    </row>
    <row r="14" spans="1:53" x14ac:dyDescent="0.25">
      <c r="A14" s="6">
        <v>9</v>
      </c>
      <c r="B14" s="6" t="s">
        <v>17</v>
      </c>
      <c r="C14" s="7">
        <v>5</v>
      </c>
      <c r="D14" s="7">
        <v>8</v>
      </c>
      <c r="E14" s="7" t="s">
        <v>18</v>
      </c>
      <c r="F14" s="8">
        <f t="shared" si="3"/>
        <v>46210</v>
      </c>
      <c r="G14" s="8">
        <f t="shared" si="2"/>
        <v>46215</v>
      </c>
      <c r="H14" s="9" t="s">
        <v>15</v>
      </c>
      <c r="I14" s="10">
        <v>46228</v>
      </c>
      <c r="J14" s="10"/>
      <c r="K14" s="11" t="str">
        <f t="shared" si="0"/>
        <v/>
      </c>
      <c r="L14" s="12" t="str">
        <f t="shared" si="1"/>
        <v/>
      </c>
      <c r="AX14" t="str">
        <f>A7&amp;". "&amp;B7</f>
        <v>2. Presentación de sugerencias en crudo a Cloe</v>
      </c>
      <c r="AY14" s="15">
        <f>F7</f>
        <v>46121</v>
      </c>
      <c r="AZ14">
        <f>G7-F7</f>
        <v>6</v>
      </c>
      <c r="BA14">
        <v>0</v>
      </c>
    </row>
    <row r="15" spans="1:53" x14ac:dyDescent="0.25">
      <c r="A15" s="6">
        <v>10</v>
      </c>
      <c r="B15" s="6" t="s">
        <v>19</v>
      </c>
      <c r="C15" s="7">
        <v>12</v>
      </c>
      <c r="D15" s="7">
        <v>8</v>
      </c>
      <c r="E15" s="7" t="s">
        <v>18</v>
      </c>
      <c r="F15" s="8">
        <f t="shared" si="3"/>
        <v>46210</v>
      </c>
      <c r="G15" s="8">
        <f t="shared" si="2"/>
        <v>46222</v>
      </c>
      <c r="H15" s="9" t="s">
        <v>15</v>
      </c>
      <c r="I15" s="10">
        <v>46218</v>
      </c>
      <c r="J15" s="10"/>
      <c r="K15" s="11" t="str">
        <f t="shared" si="0"/>
        <v/>
      </c>
      <c r="L15" s="12" t="str">
        <f t="shared" si="1"/>
        <v/>
      </c>
      <c r="AX15" t="str">
        <f>"     "&amp;A7&amp;" · real"</f>
        <v xml:space="preserve">     2 · real</v>
      </c>
      <c r="AY15" s="15">
        <f>IF($I7="",$F7,$I7)</f>
        <v>46121</v>
      </c>
      <c r="AZ15">
        <v>0</v>
      </c>
      <c r="BA15">
        <f>IF($K7="",0,$K7)</f>
        <v>6</v>
      </c>
    </row>
    <row r="16" spans="1:53" x14ac:dyDescent="0.25">
      <c r="A16" s="6">
        <v>11</v>
      </c>
      <c r="B16" s="6" t="s">
        <v>20</v>
      </c>
      <c r="C16" s="7">
        <v>4</v>
      </c>
      <c r="D16" s="7">
        <v>10</v>
      </c>
      <c r="E16" s="7" t="s">
        <v>18</v>
      </c>
      <c r="F16" s="8">
        <f t="shared" si="3"/>
        <v>46222</v>
      </c>
      <c r="G16" s="8">
        <f t="shared" si="2"/>
        <v>46226</v>
      </c>
      <c r="H16" s="9" t="s">
        <v>15</v>
      </c>
      <c r="I16" s="10">
        <v>46228</v>
      </c>
      <c r="J16" s="10"/>
      <c r="K16" s="11" t="str">
        <f t="shared" si="0"/>
        <v/>
      </c>
      <c r="L16" s="12" t="str">
        <f t="shared" si="1"/>
        <v/>
      </c>
      <c r="AX16" t="str">
        <f>A8&amp;". "&amp;B8</f>
        <v>3. Búsqueda de más opciones / Mejorar cotizaciones</v>
      </c>
      <c r="AY16" s="15">
        <f>F8</f>
        <v>46127</v>
      </c>
      <c r="AZ16">
        <f>G8-F8</f>
        <v>17</v>
      </c>
      <c r="BA16">
        <v>0</v>
      </c>
    </row>
    <row r="17" spans="1:53" x14ac:dyDescent="0.25">
      <c r="A17" s="6">
        <v>12</v>
      </c>
      <c r="B17" s="6" t="s">
        <v>21</v>
      </c>
      <c r="C17" s="7">
        <v>7</v>
      </c>
      <c r="D17" s="7">
        <v>11</v>
      </c>
      <c r="E17" s="7" t="s">
        <v>18</v>
      </c>
      <c r="F17" s="8">
        <f t="shared" si="3"/>
        <v>46226</v>
      </c>
      <c r="G17" s="8">
        <f t="shared" si="2"/>
        <v>46233</v>
      </c>
      <c r="H17" s="9" t="s">
        <v>15</v>
      </c>
      <c r="I17" s="10">
        <v>46234</v>
      </c>
      <c r="J17" s="10"/>
      <c r="K17" s="11" t="str">
        <f t="shared" si="0"/>
        <v/>
      </c>
      <c r="L17" s="12" t="str">
        <f t="shared" si="1"/>
        <v/>
      </c>
      <c r="AX17" t="str">
        <f>"     "&amp;A8&amp;" · real"</f>
        <v xml:space="preserve">     3 · real</v>
      </c>
      <c r="AY17" s="15">
        <f>IF($I8="",$F8,$I8)</f>
        <v>46127</v>
      </c>
      <c r="AZ17">
        <v>0</v>
      </c>
      <c r="BA17">
        <f>IF($K8="",0,$K8)</f>
        <v>17</v>
      </c>
    </row>
    <row r="18" spans="1:53" x14ac:dyDescent="0.25">
      <c r="A18" s="6">
        <v>13</v>
      </c>
      <c r="B18" s="6" t="s">
        <v>22</v>
      </c>
      <c r="C18" s="7">
        <v>60</v>
      </c>
      <c r="D18" s="7">
        <v>11</v>
      </c>
      <c r="E18" s="7" t="s">
        <v>18</v>
      </c>
      <c r="F18" s="8">
        <f t="shared" si="3"/>
        <v>46226</v>
      </c>
      <c r="G18" s="8">
        <f t="shared" si="2"/>
        <v>46286</v>
      </c>
      <c r="H18" s="9" t="s">
        <v>15</v>
      </c>
      <c r="I18" s="10">
        <v>46237</v>
      </c>
      <c r="J18" s="10"/>
      <c r="K18" s="11" t="str">
        <f t="shared" si="0"/>
        <v/>
      </c>
      <c r="L18" s="12" t="str">
        <f t="shared" si="1"/>
        <v/>
      </c>
      <c r="AX18" t="str">
        <f>A9&amp;". "&amp;B9</f>
        <v>4. Render "Cloetización" de los productos</v>
      </c>
      <c r="AY18" s="15">
        <f>F9</f>
        <v>46127</v>
      </c>
      <c r="AZ18">
        <f>G9-F9</f>
        <v>20</v>
      </c>
      <c r="BA18">
        <v>0</v>
      </c>
    </row>
    <row r="19" spans="1:53" x14ac:dyDescent="0.25">
      <c r="A19" s="6">
        <v>14</v>
      </c>
      <c r="B19" s="6" t="s">
        <v>23</v>
      </c>
      <c r="C19" s="7">
        <v>30</v>
      </c>
      <c r="D19" s="7">
        <v>11</v>
      </c>
      <c r="E19" s="7" t="s">
        <v>18</v>
      </c>
      <c r="F19" s="8">
        <f t="shared" si="3"/>
        <v>46226</v>
      </c>
      <c r="G19" s="8">
        <f t="shared" si="2"/>
        <v>46256</v>
      </c>
      <c r="H19" s="9" t="s">
        <v>15</v>
      </c>
      <c r="I19" s="10">
        <v>46237</v>
      </c>
      <c r="J19" s="10"/>
      <c r="K19" s="11" t="str">
        <f t="shared" si="0"/>
        <v/>
      </c>
      <c r="L19" s="12" t="str">
        <f t="shared" si="1"/>
        <v/>
      </c>
      <c r="AX19" t="str">
        <f>"     "&amp;A9&amp;" · real"</f>
        <v xml:space="preserve">     4 · real</v>
      </c>
      <c r="AY19" s="15">
        <f>IF($I9="",$F9,$I9)</f>
        <v>46127</v>
      </c>
      <c r="AZ19">
        <v>0</v>
      </c>
      <c r="BA19">
        <f>IF($K9="",0,$K9)</f>
        <v>20</v>
      </c>
    </row>
    <row r="20" spans="1:53" x14ac:dyDescent="0.25">
      <c r="A20" s="6">
        <v>15</v>
      </c>
      <c r="B20" s="6" t="s">
        <v>24</v>
      </c>
      <c r="C20" s="7">
        <v>45</v>
      </c>
      <c r="D20" s="7">
        <v>13</v>
      </c>
      <c r="E20" s="7" t="s">
        <v>25</v>
      </c>
      <c r="F20" s="8">
        <f t="shared" si="3"/>
        <v>46226</v>
      </c>
      <c r="G20" s="8">
        <f t="shared" si="2"/>
        <v>46271</v>
      </c>
      <c r="H20" s="9" t="s">
        <v>15</v>
      </c>
      <c r="I20" s="10">
        <v>46280</v>
      </c>
      <c r="J20" s="10"/>
      <c r="K20" s="11" t="str">
        <f t="shared" si="0"/>
        <v/>
      </c>
      <c r="L20" s="12" t="str">
        <f t="shared" si="1"/>
        <v/>
      </c>
      <c r="AX20" t="str">
        <f>A10&amp;". "&amp;B10</f>
        <v>5. Presentación de renders / Modificaciones renders</v>
      </c>
      <c r="AY20" s="15">
        <f>F10</f>
        <v>46150</v>
      </c>
      <c r="AZ20">
        <f>G10-F10</f>
        <v>15</v>
      </c>
      <c r="BA20">
        <v>0</v>
      </c>
    </row>
    <row r="21" spans="1:53" x14ac:dyDescent="0.25">
      <c r="A21" s="6">
        <v>16</v>
      </c>
      <c r="B21" s="6" t="s">
        <v>26</v>
      </c>
      <c r="C21" s="7">
        <v>60</v>
      </c>
      <c r="D21" s="7">
        <v>13</v>
      </c>
      <c r="E21" s="7" t="s">
        <v>25</v>
      </c>
      <c r="F21" s="8">
        <f t="shared" si="3"/>
        <v>46226</v>
      </c>
      <c r="G21" s="8">
        <f t="shared" si="2"/>
        <v>46286</v>
      </c>
      <c r="H21" s="9" t="s">
        <v>15</v>
      </c>
      <c r="I21" s="10">
        <v>46237</v>
      </c>
      <c r="J21" s="10"/>
      <c r="K21" s="11" t="str">
        <f t="shared" si="0"/>
        <v/>
      </c>
      <c r="L21" s="12" t="str">
        <f t="shared" si="1"/>
        <v/>
      </c>
      <c r="AX21" t="str">
        <f>"     "&amp;A10&amp;" · real"</f>
        <v xml:space="preserve">     5 · real</v>
      </c>
      <c r="AY21" s="15">
        <f>IF($I10="",$F10,$I10)</f>
        <v>46150</v>
      </c>
      <c r="AZ21">
        <v>0</v>
      </c>
      <c r="BA21">
        <f>IF($K10="",0,$K10)</f>
        <v>15</v>
      </c>
    </row>
    <row r="22" spans="1:53" x14ac:dyDescent="0.25">
      <c r="A22" s="6">
        <v>17</v>
      </c>
      <c r="B22" s="6" t="s">
        <v>27</v>
      </c>
      <c r="C22" s="7">
        <v>7</v>
      </c>
      <c r="D22" s="7">
        <v>13</v>
      </c>
      <c r="E22" s="7"/>
      <c r="F22" s="8">
        <f>MAX($G$18,$G$19)</f>
        <v>46286</v>
      </c>
      <c r="G22" s="8">
        <f t="shared" si="2"/>
        <v>46293</v>
      </c>
      <c r="H22" s="9" t="s">
        <v>15</v>
      </c>
      <c r="I22" s="13" t="s">
        <v>36</v>
      </c>
      <c r="J22" s="10"/>
      <c r="K22" s="11" t="str">
        <f t="shared" si="0"/>
        <v/>
      </c>
      <c r="L22" s="12" t="str">
        <f t="shared" si="1"/>
        <v/>
      </c>
      <c r="AX22" t="str">
        <f>A11&amp;". "&amp;B11</f>
        <v>6. Aprobación de renders</v>
      </c>
      <c r="AY22" s="15">
        <f>F11</f>
        <v>46164</v>
      </c>
      <c r="AZ22">
        <f>G11-F11</f>
        <v>6</v>
      </c>
      <c r="BA22">
        <v>0</v>
      </c>
    </row>
    <row r="23" spans="1:53" x14ac:dyDescent="0.25">
      <c r="A23" s="6">
        <v>18</v>
      </c>
      <c r="B23" s="6" t="s">
        <v>28</v>
      </c>
      <c r="C23" s="7">
        <v>15</v>
      </c>
      <c r="D23" s="7">
        <v>17</v>
      </c>
      <c r="E23" s="7" t="s">
        <v>18</v>
      </c>
      <c r="F23" s="8">
        <f>IF($D23="",$C$4,IF($E23="II",INDEX($F$12:$F$26,MATCH($D23,$A$12:$A$26,0)),INDEX($G$12:$G$26,MATCH($D23,$A$12:$A$26,0))))</f>
        <v>46293</v>
      </c>
      <c r="G23" s="8">
        <f t="shared" si="2"/>
        <v>46308</v>
      </c>
      <c r="H23" s="9" t="s">
        <v>15</v>
      </c>
      <c r="I23" s="10"/>
      <c r="J23" s="10"/>
      <c r="K23" s="11" t="str">
        <f t="shared" si="0"/>
        <v/>
      </c>
      <c r="L23" s="12" t="str">
        <f t="shared" si="1"/>
        <v/>
      </c>
      <c r="AX23" t="str">
        <f>"     "&amp;A11&amp;" · real"</f>
        <v xml:space="preserve">     6 · real</v>
      </c>
      <c r="AY23" s="15">
        <f>IF($I11="",$F11,$I11)</f>
        <v>46164</v>
      </c>
      <c r="AZ23">
        <v>0</v>
      </c>
      <c r="BA23">
        <f>IF($K11="",0,$K11)</f>
        <v>6</v>
      </c>
    </row>
    <row r="24" spans="1:53" x14ac:dyDescent="0.25">
      <c r="A24" s="6">
        <v>19</v>
      </c>
      <c r="B24" s="6" t="s">
        <v>29</v>
      </c>
      <c r="C24" s="7">
        <v>35</v>
      </c>
      <c r="D24" s="7">
        <v>18</v>
      </c>
      <c r="E24" s="7" t="s">
        <v>18</v>
      </c>
      <c r="F24" s="8">
        <f>IF($D24="",$C$4,IF($E24="II",INDEX($F$12:$F$26,MATCH($D24,$A$12:$A$26,0)),INDEX($G$12:$G$26,MATCH($D24,$A$12:$A$26,0))))</f>
        <v>46308</v>
      </c>
      <c r="G24" s="8">
        <f t="shared" si="2"/>
        <v>46343</v>
      </c>
      <c r="H24" s="9" t="s">
        <v>15</v>
      </c>
      <c r="I24" s="10"/>
      <c r="J24" s="10"/>
      <c r="K24" s="11" t="str">
        <f t="shared" si="0"/>
        <v/>
      </c>
      <c r="L24" s="12" t="str">
        <f t="shared" si="1"/>
        <v/>
      </c>
      <c r="AX24" t="str">
        <f>A12&amp;". "&amp;B12</f>
        <v>7. Producción de muestras en China</v>
      </c>
      <c r="AY24" s="15">
        <f>F12</f>
        <v>46170</v>
      </c>
      <c r="AZ24">
        <f>G12-F12</f>
        <v>30</v>
      </c>
      <c r="BA24">
        <v>0</v>
      </c>
    </row>
    <row r="25" spans="1:53" x14ac:dyDescent="0.25">
      <c r="A25" s="6">
        <v>20</v>
      </c>
      <c r="B25" s="6" t="s">
        <v>30</v>
      </c>
      <c r="C25" s="7">
        <v>10</v>
      </c>
      <c r="D25" s="7">
        <v>19</v>
      </c>
      <c r="E25" s="7" t="s">
        <v>18</v>
      </c>
      <c r="F25" s="8">
        <f>IF($D25="",$C$4,IF($E25="II",INDEX($F$12:$F$26,MATCH($D25,$A$12:$A$26,0)),INDEX($G$12:$G$26,MATCH($D25,$A$12:$A$26,0))))</f>
        <v>46343</v>
      </c>
      <c r="G25" s="8">
        <f t="shared" si="2"/>
        <v>46353</v>
      </c>
      <c r="H25" s="9" t="s">
        <v>15</v>
      </c>
      <c r="I25" s="10"/>
      <c r="J25" s="10"/>
      <c r="K25" s="11" t="str">
        <f t="shared" si="0"/>
        <v/>
      </c>
      <c r="L25" s="12" t="str">
        <f t="shared" si="1"/>
        <v/>
      </c>
      <c r="AX25" t="str">
        <f>"     "&amp;A12&amp;" · real"</f>
        <v xml:space="preserve">     7 · real</v>
      </c>
      <c r="AY25" s="15">
        <f>IF($I12="",$F12,$I12)</f>
        <v>46176</v>
      </c>
      <c r="AZ25">
        <v>0</v>
      </c>
      <c r="BA25">
        <f>IF($K12="",0,$K12)</f>
        <v>30</v>
      </c>
    </row>
    <row r="26" spans="1:53" x14ac:dyDescent="0.25">
      <c r="A26" s="6">
        <v>21</v>
      </c>
      <c r="B26" s="6" t="s">
        <v>31</v>
      </c>
      <c r="C26" s="7">
        <v>1</v>
      </c>
      <c r="D26" s="7">
        <v>20</v>
      </c>
      <c r="E26" s="7" t="s">
        <v>18</v>
      </c>
      <c r="F26" s="8">
        <f>IF($D26="",$C$4,IF($E26="II",INDEX($F$12:$F$26,MATCH($D26,$A$12:$A$26,0)),INDEX($G$12:$G$26,MATCH($D26,$A$12:$A$26,0))))</f>
        <v>46353</v>
      </c>
      <c r="G26" s="8">
        <f t="shared" si="2"/>
        <v>46354</v>
      </c>
      <c r="H26" s="9" t="s">
        <v>15</v>
      </c>
      <c r="I26" s="10" t="s">
        <v>37</v>
      </c>
      <c r="J26" s="10"/>
      <c r="K26" s="11" t="str">
        <f t="shared" si="0"/>
        <v/>
      </c>
      <c r="L26" s="12" t="str">
        <f t="shared" si="1"/>
        <v/>
      </c>
      <c r="AX26" t="str">
        <f>A13&amp;". "&amp;B13</f>
        <v>8. Courier a Mexico</v>
      </c>
      <c r="AY26" s="15">
        <f>F13</f>
        <v>46200</v>
      </c>
      <c r="AZ26">
        <f>G13-F13</f>
        <v>10</v>
      </c>
      <c r="BA26">
        <v>0</v>
      </c>
    </row>
    <row r="27" spans="1:53" x14ac:dyDescent="0.25">
      <c r="AX27" t="str">
        <f>"     "&amp;A13&amp;" · real"</f>
        <v xml:space="preserve">     8 · real</v>
      </c>
      <c r="AY27" s="15">
        <f>IF($I13="",$F13,$I13)</f>
        <v>46210</v>
      </c>
      <c r="AZ27">
        <v>0</v>
      </c>
      <c r="BA27">
        <f>IF($K13="",0,$K13)</f>
        <v>0</v>
      </c>
    </row>
    <row r="28" spans="1:53" x14ac:dyDescent="0.25">
      <c r="AX28" t="str">
        <f>A14&amp;". "&amp;B14</f>
        <v>9. DEADLINE aprobación Cloé (confirmación muestra final)</v>
      </c>
      <c r="AY28" s="15">
        <f>F14</f>
        <v>46210</v>
      </c>
      <c r="AZ28">
        <f>G14-F14</f>
        <v>5</v>
      </c>
      <c r="BA28">
        <v>0</v>
      </c>
    </row>
    <row r="29" spans="1:53" x14ac:dyDescent="0.25">
      <c r="AX29" t="str">
        <f>"     "&amp;A14&amp;" · real"</f>
        <v xml:space="preserve">     9 · real</v>
      </c>
      <c r="AY29" s="15">
        <f>IF($I14="",$F14,$I14)</f>
        <v>46228</v>
      </c>
      <c r="AZ29">
        <v>0</v>
      </c>
      <c r="BA29">
        <f>IF($K14="",0,$K14)</f>
        <v>0</v>
      </c>
    </row>
    <row r="30" spans="1:53" x14ac:dyDescent="0.25">
      <c r="AX30" t="str">
        <f>A15&amp;". "&amp;B15</f>
        <v>10. Reunión con Comité y entrega de muestras</v>
      </c>
      <c r="AY30" s="15">
        <f>F15</f>
        <v>46210</v>
      </c>
      <c r="AZ30">
        <f>G15-F15</f>
        <v>12</v>
      </c>
      <c r="BA30">
        <v>0</v>
      </c>
    </row>
    <row r="31" spans="1:53" x14ac:dyDescent="0.25">
      <c r="AX31" t="str">
        <f>"     "&amp;A15&amp;" · real"</f>
        <v xml:space="preserve">     10 · real</v>
      </c>
      <c r="AY31" s="15">
        <f>IF($I15="",$F15,$I15)</f>
        <v>46218</v>
      </c>
      <c r="AZ31">
        <v>0</v>
      </c>
      <c r="BA31">
        <f>IF($K15="",0,$K15)</f>
        <v>0</v>
      </c>
    </row>
    <row r="32" spans="1:53" x14ac:dyDescent="0.25">
      <c r="AX32" t="str">
        <f>A16&amp;". "&amp;B16</f>
        <v>11. Confirmación de muestras y packaging</v>
      </c>
      <c r="AY32" s="15">
        <f>F16</f>
        <v>46222</v>
      </c>
      <c r="AZ32">
        <f>G16-F16</f>
        <v>4</v>
      </c>
      <c r="BA32">
        <v>0</v>
      </c>
    </row>
    <row r="33" spans="50:53" x14ac:dyDescent="0.25">
      <c r="AX33" t="str">
        <f>"     "&amp;A16&amp;" · real"</f>
        <v xml:space="preserve">     11 · real</v>
      </c>
      <c r="AY33" s="15">
        <f>IF($I16="",$F16,$I16)</f>
        <v>46228</v>
      </c>
      <c r="AZ33">
        <v>0</v>
      </c>
      <c r="BA33">
        <f>IF($K16="",0,$K16)</f>
        <v>0</v>
      </c>
    </row>
    <row r="34" spans="50:53" x14ac:dyDescent="0.25">
      <c r="AX34" t="str">
        <f>A17&amp;". "&amp;B17</f>
        <v>12. Master Cloé (modelo &amp; upc)</v>
      </c>
      <c r="AY34" s="15">
        <f>F17</f>
        <v>46226</v>
      </c>
      <c r="AZ34">
        <f>G17-F17</f>
        <v>7</v>
      </c>
      <c r="BA34">
        <v>0</v>
      </c>
    </row>
    <row r="35" spans="50:53" x14ac:dyDescent="0.25">
      <c r="AX35" t="str">
        <f>"     "&amp;A17&amp;" · real"</f>
        <v xml:space="preserve">     12 · real</v>
      </c>
      <c r="AY35" s="15">
        <f>IF($I17="",$F17,$I17)</f>
        <v>46234</v>
      </c>
      <c r="AZ35">
        <v>0</v>
      </c>
      <c r="BA35">
        <f>IF($K17="",0,$K17)</f>
        <v>0</v>
      </c>
    </row>
    <row r="36" spans="50:53" x14ac:dyDescent="0.25">
      <c r="AX36" t="str">
        <f>A18&amp;". "&amp;B18</f>
        <v>13. Producción de producto</v>
      </c>
      <c r="AY36" s="15">
        <f>F18</f>
        <v>46226</v>
      </c>
      <c r="AZ36">
        <f>G18-F18</f>
        <v>60</v>
      </c>
      <c r="BA36">
        <v>0</v>
      </c>
    </row>
    <row r="37" spans="50:53" x14ac:dyDescent="0.25">
      <c r="AX37" t="str">
        <f>"     "&amp;A18&amp;" · real"</f>
        <v xml:space="preserve">     13 · real</v>
      </c>
      <c r="AY37" s="15">
        <f>IF($I18="",$F18,$I18)</f>
        <v>46237</v>
      </c>
      <c r="AZ37">
        <v>0</v>
      </c>
      <c r="BA37">
        <f>IF($K18="",0,$K18)</f>
        <v>0</v>
      </c>
    </row>
    <row r="38" spans="50:53" x14ac:dyDescent="0.25">
      <c r="AX38" t="str">
        <f>A19&amp;". "&amp;B19</f>
        <v>14. Producción de packaging</v>
      </c>
      <c r="AY38" s="15">
        <f>F19</f>
        <v>46226</v>
      </c>
      <c r="AZ38">
        <f>G19-F19</f>
        <v>30</v>
      </c>
      <c r="BA38">
        <v>0</v>
      </c>
    </row>
    <row r="39" spans="50:53" x14ac:dyDescent="0.25">
      <c r="AX39" t="str">
        <f>"     "&amp;A19&amp;" · real"</f>
        <v xml:space="preserve">     14 · real</v>
      </c>
      <c r="AY39" s="15">
        <f>IF($I19="",$F19,$I19)</f>
        <v>46237</v>
      </c>
      <c r="AZ39">
        <v>0</v>
      </c>
      <c r="BA39">
        <f>IF($K19="",0,$K19)</f>
        <v>0</v>
      </c>
    </row>
    <row r="40" spans="50:53" x14ac:dyDescent="0.25">
      <c r="AX40" t="str">
        <f>A20&amp;". "&amp;B20</f>
        <v>15. Muestras de producción a México (fotografía)</v>
      </c>
      <c r="AY40" s="15">
        <f>F20</f>
        <v>46226</v>
      </c>
      <c r="AZ40">
        <f>G20-F20</f>
        <v>45</v>
      </c>
      <c r="BA40">
        <v>0</v>
      </c>
    </row>
    <row r="41" spans="50:53" x14ac:dyDescent="0.25">
      <c r="AX41" t="str">
        <f>"     "&amp;A20&amp;" · real"</f>
        <v xml:space="preserve">     15 · real</v>
      </c>
      <c r="AY41" s="15">
        <f>IF($I20="",$F20,$I20)</f>
        <v>46280</v>
      </c>
      <c r="AZ41">
        <v>0</v>
      </c>
      <c r="BA41">
        <f>IF($K20="",0,$K20)</f>
        <v>0</v>
      </c>
    </row>
    <row r="42" spans="50:53" x14ac:dyDescent="0.25">
      <c r="AX42" t="str">
        <f>A21&amp;". "&amp;B21</f>
        <v>16. Gestión proveedores Cloé</v>
      </c>
      <c r="AY42" s="15">
        <f>F21</f>
        <v>46226</v>
      </c>
      <c r="AZ42">
        <f>G21-F21</f>
        <v>60</v>
      </c>
      <c r="BA42">
        <v>0</v>
      </c>
    </row>
    <row r="43" spans="50:53" x14ac:dyDescent="0.25">
      <c r="AX43" t="str">
        <f>"     "&amp;A21&amp;" · real"</f>
        <v xml:space="preserve">     16 · real</v>
      </c>
      <c r="AY43" s="15">
        <f>IF($I21="",$F21,$I21)</f>
        <v>46237</v>
      </c>
      <c r="AZ43">
        <v>0</v>
      </c>
      <c r="BA43">
        <f>IF($K21="",0,$K21)</f>
        <v>0</v>
      </c>
    </row>
    <row r="44" spans="50:53" x14ac:dyDescent="0.25">
      <c r="AX44" t="str">
        <f>A22&amp;". "&amp;B22</f>
        <v>17. Inspección</v>
      </c>
      <c r="AY44" s="15">
        <f>F22</f>
        <v>46286</v>
      </c>
      <c r="AZ44">
        <f>G22-F22</f>
        <v>7</v>
      </c>
      <c r="BA44">
        <v>0</v>
      </c>
    </row>
    <row r="45" spans="50:53" x14ac:dyDescent="0.25">
      <c r="AX45" t="str">
        <f>"     "&amp;A22&amp;" · real"</f>
        <v xml:space="preserve">     17 · real</v>
      </c>
      <c r="AY45" s="15" t="str">
        <f>IF($I22="",$F22,$I22)</f>
        <v>Golden week? Antes o despues del 1 al 10 Octubre</v>
      </c>
      <c r="AZ45">
        <v>0</v>
      </c>
      <c r="BA45">
        <f>IF($K22="",0,$K22)</f>
        <v>0</v>
      </c>
    </row>
    <row r="46" spans="50:53" x14ac:dyDescent="0.25">
      <c r="AX46" t="str">
        <f>A23&amp;". "&amp;B23</f>
        <v>18. Orden terminada + CUT OFF + tiempos puerto</v>
      </c>
      <c r="AY46" s="15">
        <f>F23</f>
        <v>46293</v>
      </c>
      <c r="AZ46">
        <f>G23-F23</f>
        <v>15</v>
      </c>
      <c r="BA46">
        <v>0</v>
      </c>
    </row>
    <row r="47" spans="50:53" x14ac:dyDescent="0.25">
      <c r="AX47" t="str">
        <f>"     "&amp;A23&amp;" · real"</f>
        <v xml:space="preserve">     18 · real</v>
      </c>
      <c r="AY47" s="15">
        <f>IF($I23="",$F23,$I23)</f>
        <v>46293</v>
      </c>
      <c r="AZ47">
        <v>0</v>
      </c>
      <c r="BA47">
        <f>IF($K23="",0,$K23)</f>
        <v>0</v>
      </c>
    </row>
    <row r="48" spans="50:53" x14ac:dyDescent="0.25">
      <c r="AX48" t="str">
        <f>A24&amp;". "&amp;B24</f>
        <v>19. Tránsito marítimo</v>
      </c>
      <c r="AY48" s="15">
        <f>F24</f>
        <v>46308</v>
      </c>
      <c r="AZ48">
        <f>G24-F24</f>
        <v>35</v>
      </c>
      <c r="BA48">
        <v>0</v>
      </c>
    </row>
    <row r="49" spans="50:53" x14ac:dyDescent="0.25">
      <c r="AX49" t="str">
        <f>"     "&amp;A24&amp;" · real"</f>
        <v xml:space="preserve">     19 · real</v>
      </c>
      <c r="AY49" s="15">
        <f>IF($I24="",$F24,$I24)</f>
        <v>46308</v>
      </c>
      <c r="AZ49">
        <v>0</v>
      </c>
      <c r="BA49">
        <f>IF($K24="",0,$K24)</f>
        <v>0</v>
      </c>
    </row>
    <row r="50" spans="50:53" x14ac:dyDescent="0.25">
      <c r="AX50" t="str">
        <f>A25&amp;". "&amp;B25</f>
        <v>20. Aduana México</v>
      </c>
      <c r="AY50" s="15">
        <f>F25</f>
        <v>46343</v>
      </c>
      <c r="AZ50">
        <f>G25-F25</f>
        <v>10</v>
      </c>
      <c r="BA50">
        <v>0</v>
      </c>
    </row>
    <row r="51" spans="50:53" x14ac:dyDescent="0.25">
      <c r="AX51" t="str">
        <f>"     "&amp;A25&amp;" · real"</f>
        <v xml:space="preserve">     20 · real</v>
      </c>
      <c r="AY51" s="15">
        <f>IF($I25="",$F25,$I25)</f>
        <v>46343</v>
      </c>
      <c r="AZ51">
        <v>0</v>
      </c>
      <c r="BA51">
        <f>IF($K25="",0,$K25)</f>
        <v>0</v>
      </c>
    </row>
    <row r="52" spans="50:53" x14ac:dyDescent="0.25">
      <c r="AX52" t="str">
        <f>A26&amp;". "&amp;B26</f>
        <v>21. Lanzamiento</v>
      </c>
      <c r="AY52" s="15">
        <f>F26</f>
        <v>46353</v>
      </c>
      <c r="AZ52">
        <f>G26-F26</f>
        <v>1</v>
      </c>
      <c r="BA52">
        <v>0</v>
      </c>
    </row>
    <row r="53" spans="50:53" x14ac:dyDescent="0.25">
      <c r="AX53" t="str">
        <f>"     "&amp;A26&amp;" · real"</f>
        <v xml:space="preserve">     21 · real</v>
      </c>
      <c r="AY53" s="15" t="str">
        <f>IF($I26="",$F26,$I26)</f>
        <v>Noviembre</v>
      </c>
      <c r="AZ53">
        <v>0</v>
      </c>
      <c r="BA53">
        <f>IF($K26="",0,$K26)</f>
        <v>0</v>
      </c>
    </row>
  </sheetData>
  <mergeCells count="1">
    <mergeCell ref="A3:L3"/>
  </mergeCells>
  <conditionalFormatting sqref="B12:L26">
    <cfRule type="expression" dxfId="13" priority="9">
      <formula>AND($H12&lt;&gt;"Completada",$G12&lt;&gt;"",$G12&lt;TODAY())</formula>
    </cfRule>
  </conditionalFormatting>
  <conditionalFormatting sqref="H6:H26">
    <cfRule type="expression" dxfId="12" priority="10">
      <formula>$H6="Completada"</formula>
    </cfRule>
    <cfRule type="expression" dxfId="11" priority="11">
      <formula>$H6="En curso"</formula>
    </cfRule>
    <cfRule type="expression" dxfId="10" priority="12">
      <formula>$H6="Pendiente"</formula>
    </cfRule>
  </conditionalFormatting>
  <conditionalFormatting sqref="L6:L26">
    <cfRule type="cellIs" dxfId="9" priority="13" operator="greaterThan">
      <formula>0</formula>
    </cfRule>
    <cfRule type="cellIs" dxfId="8" priority="14" operator="lessThan">
      <formula>0</formula>
    </cfRule>
  </conditionalFormatting>
  <conditionalFormatting sqref="B6:J11">
    <cfRule type="expression" dxfId="7" priority="8">
      <formula>AND($H6&lt;&gt;"Completada",$G6&lt;&gt;"",$G6&lt;TODAY())</formula>
    </cfRule>
  </conditionalFormatting>
  <conditionalFormatting sqref="H6:H11">
    <cfRule type="expression" dxfId="6" priority="7">
      <formula>AND($H6&lt;&gt;"Completada",$G6&lt;&gt;"",$G6&lt;TODAY())</formula>
    </cfRule>
  </conditionalFormatting>
  <conditionalFormatting sqref="K6:L6">
    <cfRule type="expression" dxfId="5" priority="6">
      <formula>AND($H6&lt;&gt;"Completada",$G6&lt;&gt;"",$G6&lt;TODAY())</formula>
    </cfRule>
  </conditionalFormatting>
  <conditionalFormatting sqref="K7:L7">
    <cfRule type="expression" dxfId="4" priority="5">
      <formula>AND($H7&lt;&gt;"Completada",$G7&lt;&gt;"",$G7&lt;TODAY())</formula>
    </cfRule>
  </conditionalFormatting>
  <conditionalFormatting sqref="K8:L8">
    <cfRule type="expression" dxfId="3" priority="4">
      <formula>AND($H8&lt;&gt;"Completada",$G8&lt;&gt;"",$G8&lt;TODAY())</formula>
    </cfRule>
  </conditionalFormatting>
  <conditionalFormatting sqref="K9:L9">
    <cfRule type="expression" dxfId="2" priority="3">
      <formula>AND($H9&lt;&gt;"Completada",$G9&lt;&gt;"",$G9&lt;TODAY())</formula>
    </cfRule>
  </conditionalFormatting>
  <conditionalFormatting sqref="K10:L10">
    <cfRule type="expression" dxfId="1" priority="2">
      <formula>AND($H10&lt;&gt;"Completada",$G10&lt;&gt;"",$G10&lt;TODAY())</formula>
    </cfRule>
  </conditionalFormatting>
  <conditionalFormatting sqref="K11:L11">
    <cfRule type="expression" dxfId="0" priority="1">
      <formula>AND($H11&lt;&gt;"Completada",$G11&lt;&gt;"",$G11&lt;TODAY())</formula>
    </cfRule>
  </conditionalFormatting>
  <dataValidations count="1">
    <dataValidation type="list" allowBlank="1" sqref="H6:H26" xr:uid="{A8A1210D-C103-4833-8972-92C820AC8CAD}">
      <formula1>"Pendiente,En curso,Completada"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0A49A-06C4-42B4-B388-2A728CF91AF0}">
  <dimension ref="A1:BA53"/>
  <sheetViews>
    <sheetView showGridLines="0" zoomScale="110" zoomScaleNormal="110" workbookViewId="0">
      <selection activeCell="B32" sqref="B32"/>
    </sheetView>
  </sheetViews>
  <sheetFormatPr defaultColWidth="8.5703125" defaultRowHeight="15" x14ac:dyDescent="0.25"/>
  <cols>
    <col min="1" max="1" width="4.42578125" customWidth="1"/>
    <col min="2" max="2" width="43.140625" customWidth="1"/>
    <col min="3" max="3" width="10.7109375" customWidth="1"/>
    <col min="4" max="4" width="24" customWidth="1"/>
    <col min="5" max="5" width="8.5703125" customWidth="1"/>
    <col min="6" max="6" width="12" customWidth="1"/>
    <col min="7" max="7" width="11.85546875" customWidth="1"/>
    <col min="8" max="12" width="13" customWidth="1"/>
    <col min="13" max="13" width="2" customWidth="1"/>
    <col min="14" max="14" width="3.42578125" customWidth="1"/>
    <col min="45" max="45" width="10.85546875" customWidth="1"/>
  </cols>
  <sheetData>
    <row r="1" spans="1:53" ht="18" customHeight="1" x14ac:dyDescent="0.3">
      <c r="A1" s="1" t="s">
        <v>34</v>
      </c>
    </row>
    <row r="3" spans="1:53" x14ac:dyDescent="0.25">
      <c r="A3" s="14" t="s">
        <v>35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53" x14ac:dyDescent="0.25">
      <c r="B4" s="2" t="s">
        <v>33</v>
      </c>
      <c r="C4" s="3">
        <v>46170</v>
      </c>
      <c r="I4" s="2" t="s">
        <v>0</v>
      </c>
      <c r="J4" s="3">
        <f ca="1">TODAY()</f>
        <v>46210</v>
      </c>
    </row>
    <row r="5" spans="1:53" x14ac:dyDescent="0.25">
      <c r="A5" s="4" t="s">
        <v>1</v>
      </c>
      <c r="B5" s="5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  <c r="H5" s="4" t="s">
        <v>8</v>
      </c>
      <c r="I5" s="4" t="s">
        <v>9</v>
      </c>
      <c r="J5" s="4" t="s">
        <v>10</v>
      </c>
      <c r="K5" s="4" t="s">
        <v>11</v>
      </c>
      <c r="L5" s="4" t="s">
        <v>12</v>
      </c>
      <c r="AX5" t="s">
        <v>2</v>
      </c>
      <c r="AY5" t="s">
        <v>6</v>
      </c>
      <c r="AZ5" t="s">
        <v>13</v>
      </c>
      <c r="BA5" t="s">
        <v>14</v>
      </c>
    </row>
    <row r="6" spans="1:53" x14ac:dyDescent="0.25">
      <c r="A6" s="6">
        <v>1</v>
      </c>
      <c r="B6" s="6" t="s">
        <v>38</v>
      </c>
      <c r="C6" s="7">
        <v>15</v>
      </c>
      <c r="D6" s="7"/>
      <c r="E6" s="7"/>
      <c r="F6" s="8">
        <f>I6</f>
        <v>46108</v>
      </c>
      <c r="G6" s="8">
        <f>J6</f>
        <v>46121</v>
      </c>
      <c r="H6" s="9" t="s">
        <v>43</v>
      </c>
      <c r="I6" s="10">
        <v>46108</v>
      </c>
      <c r="J6" s="10">
        <v>46121</v>
      </c>
      <c r="K6" s="11">
        <f>IF(OR($I6="",$J6=""),"",$J6-$I6)</f>
        <v>13</v>
      </c>
      <c r="L6" s="12">
        <f>IF($J6="","",$J6-$G6)</f>
        <v>0</v>
      </c>
    </row>
    <row r="7" spans="1:53" x14ac:dyDescent="0.25">
      <c r="A7" s="6">
        <v>2</v>
      </c>
      <c r="B7" s="6" t="s">
        <v>39</v>
      </c>
      <c r="C7" s="7">
        <v>7</v>
      </c>
      <c r="D7" s="7">
        <v>1</v>
      </c>
      <c r="E7" s="7"/>
      <c r="F7" s="8">
        <f>I7</f>
        <v>46121</v>
      </c>
      <c r="G7" s="8">
        <f>J7</f>
        <v>46127</v>
      </c>
      <c r="H7" s="9" t="s">
        <v>43</v>
      </c>
      <c r="I7" s="10">
        <v>46121</v>
      </c>
      <c r="J7" s="10">
        <v>46127</v>
      </c>
      <c r="K7" s="11">
        <f t="shared" ref="K7:K26" si="0">IF(OR($I7="",$J7=""),"",$J7-$I7)</f>
        <v>6</v>
      </c>
      <c r="L7" s="12">
        <f t="shared" ref="L7:L26" si="1">IF($J7="","",$J7-$G7)</f>
        <v>0</v>
      </c>
    </row>
    <row r="8" spans="1:53" x14ac:dyDescent="0.25">
      <c r="A8" s="6">
        <v>3</v>
      </c>
      <c r="B8" s="6" t="s">
        <v>44</v>
      </c>
      <c r="C8" s="7">
        <v>10</v>
      </c>
      <c r="D8" s="7">
        <v>2</v>
      </c>
      <c r="E8" s="7"/>
      <c r="F8" s="8">
        <f>I8</f>
        <v>46127</v>
      </c>
      <c r="G8" s="8">
        <f>J8</f>
        <v>46144</v>
      </c>
      <c r="H8" s="9" t="s">
        <v>43</v>
      </c>
      <c r="I8" s="10">
        <v>46127</v>
      </c>
      <c r="J8" s="10">
        <v>46144</v>
      </c>
      <c r="K8" s="11">
        <f t="shared" si="0"/>
        <v>17</v>
      </c>
      <c r="L8" s="12">
        <f t="shared" si="1"/>
        <v>0</v>
      </c>
    </row>
    <row r="9" spans="1:53" x14ac:dyDescent="0.25">
      <c r="A9" s="6">
        <v>4</v>
      </c>
      <c r="B9" s="6" t="s">
        <v>40</v>
      </c>
      <c r="C9" s="7">
        <v>15</v>
      </c>
      <c r="D9" s="7">
        <v>2</v>
      </c>
      <c r="E9" s="7"/>
      <c r="F9" s="8">
        <f>I9</f>
        <v>46127</v>
      </c>
      <c r="G9" s="8">
        <f>J9</f>
        <v>46147</v>
      </c>
      <c r="H9" s="9" t="s">
        <v>43</v>
      </c>
      <c r="I9" s="10">
        <v>46127</v>
      </c>
      <c r="J9" s="10">
        <v>46147</v>
      </c>
      <c r="K9" s="11">
        <f t="shared" si="0"/>
        <v>20</v>
      </c>
      <c r="L9" s="12">
        <f t="shared" si="1"/>
        <v>0</v>
      </c>
    </row>
    <row r="10" spans="1:53" x14ac:dyDescent="0.25">
      <c r="A10" s="6">
        <v>5</v>
      </c>
      <c r="B10" s="6" t="s">
        <v>45</v>
      </c>
      <c r="C10" s="7">
        <v>15</v>
      </c>
      <c r="D10" s="7">
        <v>4</v>
      </c>
      <c r="E10" s="7"/>
      <c r="F10" s="8">
        <f>I10</f>
        <v>46150</v>
      </c>
      <c r="G10" s="8">
        <f>J10</f>
        <v>46165</v>
      </c>
      <c r="H10" s="9" t="s">
        <v>43</v>
      </c>
      <c r="I10" s="10">
        <v>46150</v>
      </c>
      <c r="J10" s="10">
        <v>46165</v>
      </c>
      <c r="K10" s="11">
        <f t="shared" si="0"/>
        <v>15</v>
      </c>
      <c r="L10" s="12">
        <f t="shared" si="1"/>
        <v>0</v>
      </c>
    </row>
    <row r="11" spans="1:53" x14ac:dyDescent="0.25">
      <c r="A11" s="6">
        <v>6</v>
      </c>
      <c r="B11" s="6" t="s">
        <v>41</v>
      </c>
      <c r="C11" s="7">
        <v>7</v>
      </c>
      <c r="D11" s="7">
        <v>5</v>
      </c>
      <c r="E11" s="7"/>
      <c r="F11" s="8">
        <f>I11</f>
        <v>46164</v>
      </c>
      <c r="G11" s="8">
        <f>J11</f>
        <v>46170</v>
      </c>
      <c r="H11" s="9" t="s">
        <v>43</v>
      </c>
      <c r="I11" s="10">
        <v>46164</v>
      </c>
      <c r="J11" s="10">
        <v>46170</v>
      </c>
      <c r="K11" s="11">
        <f t="shared" si="0"/>
        <v>6</v>
      </c>
      <c r="L11" s="12">
        <f t="shared" si="1"/>
        <v>0</v>
      </c>
    </row>
    <row r="12" spans="1:53" x14ac:dyDescent="0.25">
      <c r="A12" s="6">
        <v>7</v>
      </c>
      <c r="B12" s="6" t="s">
        <v>42</v>
      </c>
      <c r="C12" s="7">
        <v>30</v>
      </c>
      <c r="D12" s="7">
        <v>6</v>
      </c>
      <c r="E12" s="7"/>
      <c r="F12" s="8">
        <f>$C$4</f>
        <v>46170</v>
      </c>
      <c r="G12" s="8">
        <f t="shared" ref="G12:G26" si="2">F12+C12</f>
        <v>46200</v>
      </c>
      <c r="H12" s="9" t="s">
        <v>43</v>
      </c>
      <c r="I12" s="10">
        <v>46176</v>
      </c>
      <c r="J12" s="10">
        <v>46206</v>
      </c>
      <c r="K12" s="11">
        <f t="shared" si="0"/>
        <v>30</v>
      </c>
      <c r="L12" s="12">
        <f t="shared" si="1"/>
        <v>6</v>
      </c>
      <c r="AX12" t="str">
        <f>A6&amp;". "&amp;B6</f>
        <v>1. Búsqueda de productos sugerencia en China</v>
      </c>
      <c r="AY12" s="15">
        <f>F6</f>
        <v>46108</v>
      </c>
      <c r="AZ12">
        <f>G6-F6</f>
        <v>13</v>
      </c>
      <c r="BA12">
        <v>0</v>
      </c>
    </row>
    <row r="13" spans="1:53" x14ac:dyDescent="0.25">
      <c r="A13" s="6">
        <v>8</v>
      </c>
      <c r="B13" s="6" t="s">
        <v>16</v>
      </c>
      <c r="C13" s="7">
        <v>10</v>
      </c>
      <c r="D13" s="7">
        <v>7</v>
      </c>
      <c r="E13" s="7"/>
      <c r="F13" s="8">
        <f t="shared" ref="F13:F21" si="3">IF($D13="",$C$4,IF($E13="II",INDEX($F$12:$F$26,MATCH($D13,$A$12:$A$26,0)),INDEX($G$12:$G$26,MATCH($D13,$A$12:$A$26,0))))</f>
        <v>46200</v>
      </c>
      <c r="G13" s="8">
        <f t="shared" si="2"/>
        <v>46210</v>
      </c>
      <c r="H13" s="9" t="s">
        <v>32</v>
      </c>
      <c r="I13" s="10">
        <v>46210</v>
      </c>
      <c r="J13" s="10"/>
      <c r="K13" s="11" t="str">
        <f t="shared" si="0"/>
        <v/>
      </c>
      <c r="L13" s="12" t="str">
        <f t="shared" si="1"/>
        <v/>
      </c>
      <c r="AX13" t="str">
        <f>"     "&amp;A6&amp;" · real"</f>
        <v xml:space="preserve">     1 · real</v>
      </c>
      <c r="AY13" s="15">
        <f>IF($I6="",$F6,$I6)</f>
        <v>46108</v>
      </c>
      <c r="AZ13">
        <v>0</v>
      </c>
      <c r="BA13">
        <f>IF($K6="",0,$K6)</f>
        <v>13</v>
      </c>
    </row>
    <row r="14" spans="1:53" x14ac:dyDescent="0.25">
      <c r="A14" s="6">
        <v>9</v>
      </c>
      <c r="B14" s="6" t="s">
        <v>17</v>
      </c>
      <c r="C14" s="7">
        <v>5</v>
      </c>
      <c r="D14" s="7">
        <v>8</v>
      </c>
      <c r="E14" s="7" t="s">
        <v>18</v>
      </c>
      <c r="F14" s="8">
        <f t="shared" si="3"/>
        <v>46210</v>
      </c>
      <c r="G14" s="8">
        <f t="shared" si="2"/>
        <v>46215</v>
      </c>
      <c r="H14" s="9" t="s">
        <v>15</v>
      </c>
      <c r="I14" s="10">
        <v>46228</v>
      </c>
      <c r="J14" s="10"/>
      <c r="K14" s="11" t="str">
        <f t="shared" si="0"/>
        <v/>
      </c>
      <c r="L14" s="12" t="str">
        <f t="shared" si="1"/>
        <v/>
      </c>
      <c r="AX14" t="str">
        <f>A7&amp;". "&amp;B7</f>
        <v>2. Presentación de sugerencias en crudo a Cloe</v>
      </c>
      <c r="AY14" s="15">
        <f>F7</f>
        <v>46121</v>
      </c>
      <c r="AZ14">
        <f>G7-F7</f>
        <v>6</v>
      </c>
      <c r="BA14">
        <v>0</v>
      </c>
    </row>
    <row r="15" spans="1:53" x14ac:dyDescent="0.25">
      <c r="A15" s="6">
        <v>10</v>
      </c>
      <c r="B15" s="6" t="s">
        <v>19</v>
      </c>
      <c r="C15" s="7">
        <v>12</v>
      </c>
      <c r="D15" s="7">
        <v>8</v>
      </c>
      <c r="E15" s="7" t="s">
        <v>18</v>
      </c>
      <c r="F15" s="8">
        <f t="shared" si="3"/>
        <v>46210</v>
      </c>
      <c r="G15" s="8">
        <f t="shared" si="2"/>
        <v>46222</v>
      </c>
      <c r="H15" s="9" t="s">
        <v>15</v>
      </c>
      <c r="I15" s="10">
        <v>46218</v>
      </c>
      <c r="J15" s="10"/>
      <c r="K15" s="11" t="str">
        <f t="shared" si="0"/>
        <v/>
      </c>
      <c r="L15" s="12" t="str">
        <f t="shared" si="1"/>
        <v/>
      </c>
      <c r="AX15" t="str">
        <f>"     "&amp;A7&amp;" · real"</f>
        <v xml:space="preserve">     2 · real</v>
      </c>
      <c r="AY15" s="15">
        <f>IF($I7="",$F7,$I7)</f>
        <v>46121</v>
      </c>
      <c r="AZ15">
        <v>0</v>
      </c>
      <c r="BA15">
        <f>IF($K7="",0,$K7)</f>
        <v>6</v>
      </c>
    </row>
    <row r="16" spans="1:53" x14ac:dyDescent="0.25">
      <c r="A16" s="6">
        <v>11</v>
      </c>
      <c r="B16" s="6" t="s">
        <v>20</v>
      </c>
      <c r="C16" s="7">
        <v>4</v>
      </c>
      <c r="D16" s="7">
        <v>10</v>
      </c>
      <c r="E16" s="7" t="s">
        <v>18</v>
      </c>
      <c r="F16" s="8">
        <f t="shared" si="3"/>
        <v>46222</v>
      </c>
      <c r="G16" s="8">
        <f t="shared" si="2"/>
        <v>46226</v>
      </c>
      <c r="H16" s="9" t="s">
        <v>15</v>
      </c>
      <c r="I16" s="10">
        <v>46228</v>
      </c>
      <c r="J16" s="10"/>
      <c r="K16" s="11" t="str">
        <f t="shared" si="0"/>
        <v/>
      </c>
      <c r="L16" s="12" t="str">
        <f t="shared" si="1"/>
        <v/>
      </c>
      <c r="AX16" t="str">
        <f>A8&amp;". "&amp;B8</f>
        <v>3. Búsqueda de más opciones / Mejorar cotizaciones</v>
      </c>
      <c r="AY16" s="15">
        <f>F8</f>
        <v>46127</v>
      </c>
      <c r="AZ16">
        <f>G8-F8</f>
        <v>17</v>
      </c>
      <c r="BA16">
        <v>0</v>
      </c>
    </row>
    <row r="17" spans="1:53" x14ac:dyDescent="0.25">
      <c r="A17" s="6">
        <v>12</v>
      </c>
      <c r="B17" s="6" t="s">
        <v>21</v>
      </c>
      <c r="C17" s="7">
        <v>7</v>
      </c>
      <c r="D17" s="7">
        <v>11</v>
      </c>
      <c r="E17" s="7" t="s">
        <v>18</v>
      </c>
      <c r="F17" s="8">
        <f t="shared" si="3"/>
        <v>46226</v>
      </c>
      <c r="G17" s="8">
        <f t="shared" si="2"/>
        <v>46233</v>
      </c>
      <c r="H17" s="9" t="s">
        <v>15</v>
      </c>
      <c r="I17" s="10">
        <v>46234</v>
      </c>
      <c r="J17" s="10"/>
      <c r="K17" s="11" t="str">
        <f t="shared" si="0"/>
        <v/>
      </c>
      <c r="L17" s="12" t="str">
        <f t="shared" si="1"/>
        <v/>
      </c>
      <c r="AX17" t="str">
        <f>"     "&amp;A8&amp;" · real"</f>
        <v xml:space="preserve">     3 · real</v>
      </c>
      <c r="AY17" s="15">
        <f>IF($I8="",$F8,$I8)</f>
        <v>46127</v>
      </c>
      <c r="AZ17">
        <v>0</v>
      </c>
      <c r="BA17">
        <f>IF($K8="",0,$K8)</f>
        <v>17</v>
      </c>
    </row>
    <row r="18" spans="1:53" x14ac:dyDescent="0.25">
      <c r="A18" s="6">
        <v>13</v>
      </c>
      <c r="B18" s="6" t="s">
        <v>22</v>
      </c>
      <c r="C18" s="7">
        <v>60</v>
      </c>
      <c r="D18" s="7">
        <v>11</v>
      </c>
      <c r="E18" s="7" t="s">
        <v>18</v>
      </c>
      <c r="F18" s="8">
        <f t="shared" si="3"/>
        <v>46226</v>
      </c>
      <c r="G18" s="8">
        <f t="shared" si="2"/>
        <v>46286</v>
      </c>
      <c r="H18" s="9" t="s">
        <v>15</v>
      </c>
      <c r="I18" s="10">
        <v>46237</v>
      </c>
      <c r="J18" s="10"/>
      <c r="K18" s="11" t="str">
        <f t="shared" si="0"/>
        <v/>
      </c>
      <c r="L18" s="12" t="str">
        <f t="shared" si="1"/>
        <v/>
      </c>
      <c r="AX18" t="str">
        <f>A9&amp;". "&amp;B9</f>
        <v>4. Render "Cloetización" de los productos</v>
      </c>
      <c r="AY18" s="15">
        <f>F9</f>
        <v>46127</v>
      </c>
      <c r="AZ18">
        <f>G9-F9</f>
        <v>20</v>
      </c>
      <c r="BA18">
        <v>0</v>
      </c>
    </row>
    <row r="19" spans="1:53" x14ac:dyDescent="0.25">
      <c r="A19" s="6">
        <v>14</v>
      </c>
      <c r="B19" s="6" t="s">
        <v>23</v>
      </c>
      <c r="C19" s="7">
        <v>30</v>
      </c>
      <c r="D19" s="7">
        <v>11</v>
      </c>
      <c r="E19" s="7" t="s">
        <v>18</v>
      </c>
      <c r="F19" s="8">
        <f t="shared" si="3"/>
        <v>46226</v>
      </c>
      <c r="G19" s="8">
        <f t="shared" si="2"/>
        <v>46256</v>
      </c>
      <c r="H19" s="9" t="s">
        <v>15</v>
      </c>
      <c r="I19" s="10">
        <v>46237</v>
      </c>
      <c r="J19" s="10"/>
      <c r="K19" s="11" t="str">
        <f t="shared" si="0"/>
        <v/>
      </c>
      <c r="L19" s="12" t="str">
        <f t="shared" si="1"/>
        <v/>
      </c>
      <c r="AX19" t="str">
        <f>"     "&amp;A9&amp;" · real"</f>
        <v xml:space="preserve">     4 · real</v>
      </c>
      <c r="AY19" s="15">
        <f>IF($I9="",$F9,$I9)</f>
        <v>46127</v>
      </c>
      <c r="AZ19">
        <v>0</v>
      </c>
      <c r="BA19">
        <f>IF($K9="",0,$K9)</f>
        <v>20</v>
      </c>
    </row>
    <row r="20" spans="1:53" x14ac:dyDescent="0.25">
      <c r="A20" s="6">
        <v>15</v>
      </c>
      <c r="B20" s="6" t="s">
        <v>24</v>
      </c>
      <c r="C20" s="7">
        <v>45</v>
      </c>
      <c r="D20" s="7">
        <v>13</v>
      </c>
      <c r="E20" s="7" t="s">
        <v>25</v>
      </c>
      <c r="F20" s="8">
        <f t="shared" si="3"/>
        <v>46226</v>
      </c>
      <c r="G20" s="8">
        <f t="shared" si="2"/>
        <v>46271</v>
      </c>
      <c r="H20" s="9" t="s">
        <v>15</v>
      </c>
      <c r="I20" s="10">
        <v>46280</v>
      </c>
      <c r="J20" s="10"/>
      <c r="K20" s="11" t="str">
        <f t="shared" si="0"/>
        <v/>
      </c>
      <c r="L20" s="12" t="str">
        <f t="shared" si="1"/>
        <v/>
      </c>
      <c r="AX20" t="str">
        <f>A10&amp;". "&amp;B10</f>
        <v>5. Presentación de renders / Modificaciones renders</v>
      </c>
      <c r="AY20" s="15">
        <f>F10</f>
        <v>46150</v>
      </c>
      <c r="AZ20">
        <f>G10-F10</f>
        <v>15</v>
      </c>
      <c r="BA20">
        <v>0</v>
      </c>
    </row>
    <row r="21" spans="1:53" x14ac:dyDescent="0.25">
      <c r="A21" s="6">
        <v>16</v>
      </c>
      <c r="B21" s="6" t="s">
        <v>26</v>
      </c>
      <c r="C21" s="7">
        <v>60</v>
      </c>
      <c r="D21" s="7">
        <v>13</v>
      </c>
      <c r="E21" s="7" t="s">
        <v>25</v>
      </c>
      <c r="F21" s="8">
        <f t="shared" si="3"/>
        <v>46226</v>
      </c>
      <c r="G21" s="8">
        <f t="shared" si="2"/>
        <v>46286</v>
      </c>
      <c r="H21" s="9" t="s">
        <v>15</v>
      </c>
      <c r="I21" s="10">
        <v>46237</v>
      </c>
      <c r="J21" s="10"/>
      <c r="K21" s="11" t="str">
        <f t="shared" si="0"/>
        <v/>
      </c>
      <c r="L21" s="12" t="str">
        <f t="shared" si="1"/>
        <v/>
      </c>
      <c r="AX21" t="str">
        <f>"     "&amp;A10&amp;" · real"</f>
        <v xml:space="preserve">     5 · real</v>
      </c>
      <c r="AY21" s="15">
        <f>IF($I10="",$F10,$I10)</f>
        <v>46150</v>
      </c>
      <c r="AZ21">
        <v>0</v>
      </c>
      <c r="BA21">
        <f>IF($K10="",0,$K10)</f>
        <v>15</v>
      </c>
    </row>
    <row r="22" spans="1:53" x14ac:dyDescent="0.25">
      <c r="A22" s="6">
        <v>17</v>
      </c>
      <c r="B22" s="6" t="s">
        <v>27</v>
      </c>
      <c r="C22" s="7">
        <v>7</v>
      </c>
      <c r="D22" s="7">
        <v>13</v>
      </c>
      <c r="E22" s="7"/>
      <c r="F22" s="8">
        <f>MAX($G$18,$G$19)</f>
        <v>46286</v>
      </c>
      <c r="G22" s="8">
        <f t="shared" si="2"/>
        <v>46293</v>
      </c>
      <c r="H22" s="9" t="s">
        <v>15</v>
      </c>
      <c r="I22" s="13" t="s">
        <v>36</v>
      </c>
      <c r="J22" s="10"/>
      <c r="K22" s="11" t="str">
        <f t="shared" si="0"/>
        <v/>
      </c>
      <c r="L22" s="12" t="str">
        <f t="shared" si="1"/>
        <v/>
      </c>
      <c r="AX22" t="str">
        <f>A11&amp;". "&amp;B11</f>
        <v>6. Aprobación de renders</v>
      </c>
      <c r="AY22" s="15">
        <f>F11</f>
        <v>46164</v>
      </c>
      <c r="AZ22">
        <f>G11-F11</f>
        <v>6</v>
      </c>
      <c r="BA22">
        <v>0</v>
      </c>
    </row>
    <row r="23" spans="1:53" x14ac:dyDescent="0.25">
      <c r="A23" s="6">
        <v>18</v>
      </c>
      <c r="B23" s="6" t="s">
        <v>28</v>
      </c>
      <c r="C23" s="7">
        <v>15</v>
      </c>
      <c r="D23" s="7">
        <v>17</v>
      </c>
      <c r="E23" s="7" t="s">
        <v>18</v>
      </c>
      <c r="F23" s="8">
        <f>IF($D23="",$C$4,IF($E23="II",INDEX($F$12:$F$26,MATCH($D23,$A$12:$A$26,0)),INDEX($G$12:$G$26,MATCH($D23,$A$12:$A$26,0))))</f>
        <v>46293</v>
      </c>
      <c r="G23" s="8">
        <f t="shared" si="2"/>
        <v>46308</v>
      </c>
      <c r="H23" s="9" t="s">
        <v>15</v>
      </c>
      <c r="I23" s="10"/>
      <c r="J23" s="10"/>
      <c r="K23" s="11" t="str">
        <f t="shared" si="0"/>
        <v/>
      </c>
      <c r="L23" s="12" t="str">
        <f t="shared" si="1"/>
        <v/>
      </c>
      <c r="AX23" t="str">
        <f>"     "&amp;A11&amp;" · real"</f>
        <v xml:space="preserve">     6 · real</v>
      </c>
      <c r="AY23" s="15">
        <f>IF($I11="",$F11,$I11)</f>
        <v>46164</v>
      </c>
      <c r="AZ23">
        <v>0</v>
      </c>
      <c r="BA23">
        <f>IF($K11="",0,$K11)</f>
        <v>6</v>
      </c>
    </row>
    <row r="24" spans="1:53" x14ac:dyDescent="0.25">
      <c r="A24" s="6">
        <v>19</v>
      </c>
      <c r="B24" s="6" t="s">
        <v>29</v>
      </c>
      <c r="C24" s="7">
        <v>35</v>
      </c>
      <c r="D24" s="7">
        <v>18</v>
      </c>
      <c r="E24" s="7" t="s">
        <v>18</v>
      </c>
      <c r="F24" s="8">
        <f>IF($D24="",$C$4,IF($E24="II",INDEX($F$12:$F$26,MATCH($D24,$A$12:$A$26,0)),INDEX($G$12:$G$26,MATCH($D24,$A$12:$A$26,0))))</f>
        <v>46308</v>
      </c>
      <c r="G24" s="8">
        <f t="shared" si="2"/>
        <v>46343</v>
      </c>
      <c r="H24" s="9" t="s">
        <v>15</v>
      </c>
      <c r="I24" s="10"/>
      <c r="J24" s="10"/>
      <c r="K24" s="11" t="str">
        <f t="shared" si="0"/>
        <v/>
      </c>
      <c r="L24" s="12" t="str">
        <f t="shared" si="1"/>
        <v/>
      </c>
      <c r="AX24" t="str">
        <f>A12&amp;". "&amp;B12</f>
        <v>7. Producción de muestras en China</v>
      </c>
      <c r="AY24" s="15">
        <f>F12</f>
        <v>46170</v>
      </c>
      <c r="AZ24">
        <f>G12-F12</f>
        <v>30</v>
      </c>
      <c r="BA24">
        <v>0</v>
      </c>
    </row>
    <row r="25" spans="1:53" x14ac:dyDescent="0.25">
      <c r="A25" s="6">
        <v>20</v>
      </c>
      <c r="B25" s="6" t="s">
        <v>30</v>
      </c>
      <c r="C25" s="7">
        <v>10</v>
      </c>
      <c r="D25" s="7">
        <v>19</v>
      </c>
      <c r="E25" s="7" t="s">
        <v>18</v>
      </c>
      <c r="F25" s="8">
        <f>IF($D25="",$C$4,IF($E25="II",INDEX($F$12:$F$26,MATCH($D25,$A$12:$A$26,0)),INDEX($G$12:$G$26,MATCH($D25,$A$12:$A$26,0))))</f>
        <v>46343</v>
      </c>
      <c r="G25" s="8">
        <f t="shared" si="2"/>
        <v>46353</v>
      </c>
      <c r="H25" s="9" t="s">
        <v>15</v>
      </c>
      <c r="I25" s="10"/>
      <c r="J25" s="10"/>
      <c r="K25" s="11" t="str">
        <f t="shared" si="0"/>
        <v/>
      </c>
      <c r="L25" s="12" t="str">
        <f t="shared" si="1"/>
        <v/>
      </c>
      <c r="AX25" t="str">
        <f>"     "&amp;A12&amp;" · real"</f>
        <v xml:space="preserve">     7 · real</v>
      </c>
      <c r="AY25" s="15">
        <f>IF($I12="",$F12,$I12)</f>
        <v>46176</v>
      </c>
      <c r="AZ25">
        <v>0</v>
      </c>
      <c r="BA25">
        <f>IF($K12="",0,$K12)</f>
        <v>30</v>
      </c>
    </row>
    <row r="26" spans="1:53" x14ac:dyDescent="0.25">
      <c r="A26" s="6">
        <v>21</v>
      </c>
      <c r="B26" s="6" t="s">
        <v>31</v>
      </c>
      <c r="C26" s="7">
        <v>1</v>
      </c>
      <c r="D26" s="7">
        <v>20</v>
      </c>
      <c r="E26" s="7" t="s">
        <v>18</v>
      </c>
      <c r="F26" s="8">
        <f>IF($D26="",$C$4,IF($E26="II",INDEX($F$12:$F$26,MATCH($D26,$A$12:$A$26,0)),INDEX($G$12:$G$26,MATCH($D26,$A$12:$A$26,0))))</f>
        <v>46353</v>
      </c>
      <c r="G26" s="8">
        <f t="shared" si="2"/>
        <v>46354</v>
      </c>
      <c r="H26" s="9" t="s">
        <v>15</v>
      </c>
      <c r="I26" s="10" t="s">
        <v>37</v>
      </c>
      <c r="J26" s="10"/>
      <c r="K26" s="11" t="str">
        <f t="shared" si="0"/>
        <v/>
      </c>
      <c r="L26" s="12" t="str">
        <f t="shared" si="1"/>
        <v/>
      </c>
      <c r="AX26" t="str">
        <f>A13&amp;". "&amp;B13</f>
        <v>8. Courier a Mexico</v>
      </c>
      <c r="AY26" s="15">
        <f>F13</f>
        <v>46200</v>
      </c>
      <c r="AZ26">
        <f>G13-F13</f>
        <v>10</v>
      </c>
      <c r="BA26">
        <v>0</v>
      </c>
    </row>
    <row r="27" spans="1:53" x14ac:dyDescent="0.25">
      <c r="AX27" t="str">
        <f>"     "&amp;A13&amp;" · real"</f>
        <v xml:space="preserve">     8 · real</v>
      </c>
      <c r="AY27" s="15">
        <f>IF($I13="",$F13,$I13)</f>
        <v>46210</v>
      </c>
      <c r="AZ27">
        <v>0</v>
      </c>
      <c r="BA27">
        <f>IF($K13="",0,$K13)</f>
        <v>0</v>
      </c>
    </row>
    <row r="28" spans="1:53" x14ac:dyDescent="0.25">
      <c r="AX28" t="str">
        <f>A14&amp;". "&amp;B14</f>
        <v>9. DEADLINE aprobación Cloé (confirmación muestra final)</v>
      </c>
      <c r="AY28" s="15">
        <f>F14</f>
        <v>46210</v>
      </c>
      <c r="AZ28">
        <f>G14-F14</f>
        <v>5</v>
      </c>
      <c r="BA28">
        <v>0</v>
      </c>
    </row>
    <row r="29" spans="1:53" x14ac:dyDescent="0.25">
      <c r="AX29" t="str">
        <f>"     "&amp;A14&amp;" · real"</f>
        <v xml:space="preserve">     9 · real</v>
      </c>
      <c r="AY29" s="15">
        <f>IF($I14="",$F14,$I14)</f>
        <v>46228</v>
      </c>
      <c r="AZ29">
        <v>0</v>
      </c>
      <c r="BA29">
        <f>IF($K14="",0,$K14)</f>
        <v>0</v>
      </c>
    </row>
    <row r="30" spans="1:53" x14ac:dyDescent="0.25">
      <c r="AX30" t="str">
        <f>A15&amp;". "&amp;B15</f>
        <v>10. Reunión con Comité y entrega de muestras</v>
      </c>
      <c r="AY30" s="15">
        <f>F15</f>
        <v>46210</v>
      </c>
      <c r="AZ30">
        <f>G15-F15</f>
        <v>12</v>
      </c>
      <c r="BA30">
        <v>0</v>
      </c>
    </row>
    <row r="31" spans="1:53" x14ac:dyDescent="0.25">
      <c r="AX31" t="str">
        <f>"     "&amp;A15&amp;" · real"</f>
        <v xml:space="preserve">     10 · real</v>
      </c>
      <c r="AY31" s="15">
        <f>IF($I15="",$F15,$I15)</f>
        <v>46218</v>
      </c>
      <c r="AZ31">
        <v>0</v>
      </c>
      <c r="BA31">
        <f>IF($K15="",0,$K15)</f>
        <v>0</v>
      </c>
    </row>
    <row r="32" spans="1:53" x14ac:dyDescent="0.25">
      <c r="AX32" t="str">
        <f>A16&amp;". "&amp;B16</f>
        <v>11. Confirmación de muestras y packaging</v>
      </c>
      <c r="AY32" s="15">
        <f>F16</f>
        <v>46222</v>
      </c>
      <c r="AZ32">
        <f>G16-F16</f>
        <v>4</v>
      </c>
      <c r="BA32">
        <v>0</v>
      </c>
    </row>
    <row r="33" spans="50:53" x14ac:dyDescent="0.25">
      <c r="AX33" t="str">
        <f>"     "&amp;A16&amp;" · real"</f>
        <v xml:space="preserve">     11 · real</v>
      </c>
      <c r="AY33" s="15">
        <f>IF($I16="",$F16,$I16)</f>
        <v>46228</v>
      </c>
      <c r="AZ33">
        <v>0</v>
      </c>
      <c r="BA33">
        <f>IF($K16="",0,$K16)</f>
        <v>0</v>
      </c>
    </row>
    <row r="34" spans="50:53" x14ac:dyDescent="0.25">
      <c r="AX34" t="str">
        <f>A17&amp;". "&amp;B17</f>
        <v>12. Master Cloé (modelo &amp; upc)</v>
      </c>
      <c r="AY34" s="15">
        <f>F17</f>
        <v>46226</v>
      </c>
      <c r="AZ34">
        <f>G17-F17</f>
        <v>7</v>
      </c>
      <c r="BA34">
        <v>0</v>
      </c>
    </row>
    <row r="35" spans="50:53" x14ac:dyDescent="0.25">
      <c r="AX35" t="str">
        <f>"     "&amp;A17&amp;" · real"</f>
        <v xml:space="preserve">     12 · real</v>
      </c>
      <c r="AY35" s="15">
        <f>IF($I17="",$F17,$I17)</f>
        <v>46234</v>
      </c>
      <c r="AZ35">
        <v>0</v>
      </c>
      <c r="BA35">
        <f>IF($K17="",0,$K17)</f>
        <v>0</v>
      </c>
    </row>
    <row r="36" spans="50:53" x14ac:dyDescent="0.25">
      <c r="AX36" t="str">
        <f>A18&amp;". "&amp;B18</f>
        <v>13. Producción de producto</v>
      </c>
      <c r="AY36" s="15">
        <f>F18</f>
        <v>46226</v>
      </c>
      <c r="AZ36">
        <f>G18-F18</f>
        <v>60</v>
      </c>
      <c r="BA36">
        <v>0</v>
      </c>
    </row>
    <row r="37" spans="50:53" x14ac:dyDescent="0.25">
      <c r="AX37" t="str">
        <f>"     "&amp;A18&amp;" · real"</f>
        <v xml:space="preserve">     13 · real</v>
      </c>
      <c r="AY37" s="15">
        <f>IF($I18="",$F18,$I18)</f>
        <v>46237</v>
      </c>
      <c r="AZ37">
        <v>0</v>
      </c>
      <c r="BA37">
        <f>IF($K18="",0,$K18)</f>
        <v>0</v>
      </c>
    </row>
    <row r="38" spans="50:53" x14ac:dyDescent="0.25">
      <c r="AX38" t="str">
        <f>A19&amp;". "&amp;B19</f>
        <v>14. Producción de packaging</v>
      </c>
      <c r="AY38" s="15">
        <f>F19</f>
        <v>46226</v>
      </c>
      <c r="AZ38">
        <f>G19-F19</f>
        <v>30</v>
      </c>
      <c r="BA38">
        <v>0</v>
      </c>
    </row>
    <row r="39" spans="50:53" x14ac:dyDescent="0.25">
      <c r="AX39" t="str">
        <f>"     "&amp;A19&amp;" · real"</f>
        <v xml:space="preserve">     14 · real</v>
      </c>
      <c r="AY39" s="15">
        <f>IF($I19="",$F19,$I19)</f>
        <v>46237</v>
      </c>
      <c r="AZ39">
        <v>0</v>
      </c>
      <c r="BA39">
        <f>IF($K19="",0,$K19)</f>
        <v>0</v>
      </c>
    </row>
    <row r="40" spans="50:53" x14ac:dyDescent="0.25">
      <c r="AX40" t="str">
        <f>A20&amp;". "&amp;B20</f>
        <v>15. Muestras de producción a México (fotografía)</v>
      </c>
      <c r="AY40" s="15">
        <f>F20</f>
        <v>46226</v>
      </c>
      <c r="AZ40">
        <f>G20-F20</f>
        <v>45</v>
      </c>
      <c r="BA40">
        <v>0</v>
      </c>
    </row>
    <row r="41" spans="50:53" x14ac:dyDescent="0.25">
      <c r="AX41" t="str">
        <f>"     "&amp;A20&amp;" · real"</f>
        <v xml:space="preserve">     15 · real</v>
      </c>
      <c r="AY41" s="15">
        <f>IF($I20="",$F20,$I20)</f>
        <v>46280</v>
      </c>
      <c r="AZ41">
        <v>0</v>
      </c>
      <c r="BA41">
        <f>IF($K20="",0,$K20)</f>
        <v>0</v>
      </c>
    </row>
    <row r="42" spans="50:53" x14ac:dyDescent="0.25">
      <c r="AX42" t="str">
        <f>A21&amp;". "&amp;B21</f>
        <v>16. Gestión proveedores Cloé</v>
      </c>
      <c r="AY42" s="15">
        <f>F21</f>
        <v>46226</v>
      </c>
      <c r="AZ42">
        <f>G21-F21</f>
        <v>60</v>
      </c>
      <c r="BA42">
        <v>0</v>
      </c>
    </row>
    <row r="43" spans="50:53" x14ac:dyDescent="0.25">
      <c r="AX43" t="str">
        <f>"     "&amp;A21&amp;" · real"</f>
        <v xml:space="preserve">     16 · real</v>
      </c>
      <c r="AY43" s="15">
        <f>IF($I21="",$F21,$I21)</f>
        <v>46237</v>
      </c>
      <c r="AZ43">
        <v>0</v>
      </c>
      <c r="BA43">
        <f>IF($K21="",0,$K21)</f>
        <v>0</v>
      </c>
    </row>
    <row r="44" spans="50:53" x14ac:dyDescent="0.25">
      <c r="AX44" t="str">
        <f>A22&amp;". "&amp;B22</f>
        <v>17. Inspección</v>
      </c>
      <c r="AY44" s="15">
        <f>F22</f>
        <v>46286</v>
      </c>
      <c r="AZ44">
        <f>G22-F22</f>
        <v>7</v>
      </c>
      <c r="BA44">
        <v>0</v>
      </c>
    </row>
    <row r="45" spans="50:53" x14ac:dyDescent="0.25">
      <c r="AX45" t="str">
        <f>"     "&amp;A22&amp;" · real"</f>
        <v xml:space="preserve">     17 · real</v>
      </c>
      <c r="AY45" s="15" t="str">
        <f>IF($I22="",$F22,$I22)</f>
        <v>Golden week? Antes o despues del 1 al 10 Octubre</v>
      </c>
      <c r="AZ45">
        <v>0</v>
      </c>
      <c r="BA45">
        <f>IF($K22="",0,$K22)</f>
        <v>0</v>
      </c>
    </row>
    <row r="46" spans="50:53" x14ac:dyDescent="0.25">
      <c r="AX46" t="str">
        <f>A23&amp;". "&amp;B23</f>
        <v>18. Orden terminada + CUT OFF + tiempos puerto</v>
      </c>
      <c r="AY46" s="15">
        <f>F23</f>
        <v>46293</v>
      </c>
      <c r="AZ46">
        <f>G23-F23</f>
        <v>15</v>
      </c>
      <c r="BA46">
        <v>0</v>
      </c>
    </row>
    <row r="47" spans="50:53" x14ac:dyDescent="0.25">
      <c r="AX47" t="str">
        <f>"     "&amp;A23&amp;" · real"</f>
        <v xml:space="preserve">     18 · real</v>
      </c>
      <c r="AY47" s="15">
        <f>IF($I23="",$F23,$I23)</f>
        <v>46293</v>
      </c>
      <c r="AZ47">
        <v>0</v>
      </c>
      <c r="BA47">
        <f>IF($K23="",0,$K23)</f>
        <v>0</v>
      </c>
    </row>
    <row r="48" spans="50:53" x14ac:dyDescent="0.25">
      <c r="AX48" t="str">
        <f>A24&amp;". "&amp;B24</f>
        <v>19. Tránsito marítimo</v>
      </c>
      <c r="AY48" s="15">
        <f>F24</f>
        <v>46308</v>
      </c>
      <c r="AZ48">
        <f>G24-F24</f>
        <v>35</v>
      </c>
      <c r="BA48">
        <v>0</v>
      </c>
    </row>
    <row r="49" spans="50:53" x14ac:dyDescent="0.25">
      <c r="AX49" t="str">
        <f>"     "&amp;A24&amp;" · real"</f>
        <v xml:space="preserve">     19 · real</v>
      </c>
      <c r="AY49" s="15">
        <f>IF($I24="",$F24,$I24)</f>
        <v>46308</v>
      </c>
      <c r="AZ49">
        <v>0</v>
      </c>
      <c r="BA49">
        <f>IF($K24="",0,$K24)</f>
        <v>0</v>
      </c>
    </row>
    <row r="50" spans="50:53" x14ac:dyDescent="0.25">
      <c r="AX50" t="str">
        <f>A25&amp;". "&amp;B25</f>
        <v>20. Aduana México</v>
      </c>
      <c r="AY50" s="15">
        <f>F25</f>
        <v>46343</v>
      </c>
      <c r="AZ50">
        <f>G25-F25</f>
        <v>10</v>
      </c>
      <c r="BA50">
        <v>0</v>
      </c>
    </row>
    <row r="51" spans="50:53" x14ac:dyDescent="0.25">
      <c r="AX51" t="str">
        <f>"     "&amp;A25&amp;" · real"</f>
        <v xml:space="preserve">     20 · real</v>
      </c>
      <c r="AY51" s="15">
        <f>IF($I25="",$F25,$I25)</f>
        <v>46343</v>
      </c>
      <c r="AZ51">
        <v>0</v>
      </c>
      <c r="BA51">
        <f>IF($K25="",0,$K25)</f>
        <v>0</v>
      </c>
    </row>
    <row r="52" spans="50:53" x14ac:dyDescent="0.25">
      <c r="AX52" t="str">
        <f>A26&amp;". "&amp;B26</f>
        <v>21. Lanzamiento</v>
      </c>
      <c r="AY52" s="15">
        <f>F26</f>
        <v>46353</v>
      </c>
      <c r="AZ52">
        <f>G26-F26</f>
        <v>1</v>
      </c>
      <c r="BA52">
        <v>0</v>
      </c>
    </row>
    <row r="53" spans="50:53" x14ac:dyDescent="0.25">
      <c r="AX53" t="str">
        <f>"     "&amp;A26&amp;" · real"</f>
        <v xml:space="preserve">     21 · real</v>
      </c>
      <c r="AY53" s="15" t="str">
        <f>IF($I26="",$F26,$I26)</f>
        <v>Noviembre</v>
      </c>
      <c r="AZ53">
        <v>0</v>
      </c>
      <c r="BA53">
        <f>IF($K26="",0,$K26)</f>
        <v>0</v>
      </c>
    </row>
  </sheetData>
  <mergeCells count="1">
    <mergeCell ref="A3:L3"/>
  </mergeCells>
  <conditionalFormatting sqref="B12:L26">
    <cfRule type="expression" dxfId="27" priority="9">
      <formula>AND($H12&lt;&gt;"Completada",$G12&lt;&gt;"",$G12&lt;TODAY())</formula>
    </cfRule>
  </conditionalFormatting>
  <conditionalFormatting sqref="H6:H26">
    <cfRule type="expression" dxfId="26" priority="10">
      <formula>$H6="Completada"</formula>
    </cfRule>
    <cfRule type="expression" dxfId="25" priority="11">
      <formula>$H6="En curso"</formula>
    </cfRule>
    <cfRule type="expression" dxfId="24" priority="12">
      <formula>$H6="Pendiente"</formula>
    </cfRule>
  </conditionalFormatting>
  <conditionalFormatting sqref="L6:L26">
    <cfRule type="cellIs" dxfId="23" priority="13" operator="greaterThan">
      <formula>0</formula>
    </cfRule>
    <cfRule type="cellIs" dxfId="22" priority="14" operator="lessThan">
      <formula>0</formula>
    </cfRule>
  </conditionalFormatting>
  <conditionalFormatting sqref="B6:J11">
    <cfRule type="expression" dxfId="21" priority="8">
      <formula>AND($H6&lt;&gt;"Completada",$G6&lt;&gt;"",$G6&lt;TODAY())</formula>
    </cfRule>
  </conditionalFormatting>
  <conditionalFormatting sqref="H6:H11">
    <cfRule type="expression" dxfId="20" priority="7">
      <formula>AND($H6&lt;&gt;"Completada",$G6&lt;&gt;"",$G6&lt;TODAY())</formula>
    </cfRule>
  </conditionalFormatting>
  <conditionalFormatting sqref="K6:L6">
    <cfRule type="expression" dxfId="19" priority="6">
      <formula>AND($H6&lt;&gt;"Completada",$G6&lt;&gt;"",$G6&lt;TODAY())</formula>
    </cfRule>
  </conditionalFormatting>
  <conditionalFormatting sqref="K7:L7">
    <cfRule type="expression" dxfId="18" priority="5">
      <formula>AND($H7&lt;&gt;"Completada",$G7&lt;&gt;"",$G7&lt;TODAY())</formula>
    </cfRule>
  </conditionalFormatting>
  <conditionalFormatting sqref="K8:L8">
    <cfRule type="expression" dxfId="17" priority="4">
      <formula>AND($H8&lt;&gt;"Completada",$G8&lt;&gt;"",$G8&lt;TODAY())</formula>
    </cfRule>
  </conditionalFormatting>
  <conditionalFormatting sqref="K9:L9">
    <cfRule type="expression" dxfId="16" priority="3">
      <formula>AND($H9&lt;&gt;"Completada",$G9&lt;&gt;"",$G9&lt;TODAY())</formula>
    </cfRule>
  </conditionalFormatting>
  <conditionalFormatting sqref="K10:L10">
    <cfRule type="expression" dxfId="15" priority="2">
      <formula>AND($H10&lt;&gt;"Completada",$G10&lt;&gt;"",$G10&lt;TODAY())</formula>
    </cfRule>
  </conditionalFormatting>
  <conditionalFormatting sqref="K11:L11">
    <cfRule type="expression" dxfId="14" priority="1">
      <formula>AND($H11&lt;&gt;"Completada",$G11&lt;&gt;"",$G11&lt;TODAY())</formula>
    </cfRule>
  </conditionalFormatting>
  <dataValidations count="1">
    <dataValidation type="list" allowBlank="1" sqref="H6:H26" xr:uid="{3534ECCD-9B75-4477-8586-0476589962C1}">
      <formula1>"Pendiente,En curso,Completada"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Promocional A</vt:lpstr>
      <vt:lpstr>Promocional B</vt:lpstr>
      <vt:lpstr>Promocional 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Martina</cp:lastModifiedBy>
  <cp:revision>1</cp:revision>
  <dcterms:created xsi:type="dcterms:W3CDTF">2026-06-18T12:50:07Z</dcterms:created>
  <dcterms:modified xsi:type="dcterms:W3CDTF">2026-07-07T15:03:16Z</dcterms:modified>
  <dc:language>en-US</dc:language>
</cp:coreProperties>
</file>