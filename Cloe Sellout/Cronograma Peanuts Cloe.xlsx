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ravelblue-my.sharepoint.com/personal/martina_travel-blue_com/Documents/CLOE/PEANUTS/"/>
    </mc:Choice>
  </mc:AlternateContent>
  <xr:revisionPtr revIDLastSave="92" documentId="13_ncr:1_{D04AF09E-61C0-4618-A348-EAB986EE9F2B}" xr6:coauthVersionLast="47" xr6:coauthVersionMax="47" xr10:uidLastSave="{343BB15E-658F-4B56-8352-73F02BB7C0F8}"/>
  <bookViews>
    <workbookView xWindow="-110" yWindow="-110" windowWidth="19420" windowHeight="10300" tabRatio="500" firstSheet="1" activeTab="3" xr2:uid="{00000000-000D-0000-FFFF-FFFF00000000}"/>
  </bookViews>
  <sheets>
    <sheet name="TOTE BAG FOLDABLES" sheetId="17" r:id="rId1"/>
    <sheet name="PORTA PASAPORTES" sheetId="16" r:id="rId2"/>
    <sheet name="NECK PILLOW" sheetId="15" r:id="rId3"/>
    <sheet name="ID TAG" sheetId="1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8" i="1" l="1"/>
  <c r="BA31" i="1" s="1"/>
  <c r="AY35" i="17"/>
  <c r="AX35" i="17"/>
  <c r="AZ34" i="17"/>
  <c r="AX34" i="17"/>
  <c r="AY33" i="17"/>
  <c r="AX33" i="17"/>
  <c r="AZ32" i="17"/>
  <c r="AX32" i="17"/>
  <c r="AY31" i="17"/>
  <c r="AX31" i="17"/>
  <c r="AZ30" i="17"/>
  <c r="AX30" i="17"/>
  <c r="BA29" i="17"/>
  <c r="AY29" i="17"/>
  <c r="AX29" i="17"/>
  <c r="AZ28" i="17"/>
  <c r="AX28" i="17"/>
  <c r="AY27" i="17"/>
  <c r="AX27" i="17"/>
  <c r="AZ26" i="17"/>
  <c r="AX26" i="17"/>
  <c r="AX25" i="17"/>
  <c r="AZ24" i="17"/>
  <c r="AX24" i="17"/>
  <c r="AX23" i="17"/>
  <c r="AZ22" i="17"/>
  <c r="AX22" i="17"/>
  <c r="AY21" i="17"/>
  <c r="AX21" i="17"/>
  <c r="AZ20" i="17"/>
  <c r="AX20" i="17"/>
  <c r="L20" i="17"/>
  <c r="K20" i="17"/>
  <c r="BA35" i="17" s="1"/>
  <c r="AY19" i="17"/>
  <c r="AX19" i="17"/>
  <c r="K19" i="17"/>
  <c r="BA33" i="17" s="1"/>
  <c r="AZ18" i="17"/>
  <c r="AX18" i="17"/>
  <c r="K18" i="17"/>
  <c r="BA31" i="17" s="1"/>
  <c r="AY17" i="17"/>
  <c r="AX17" i="17"/>
  <c r="K17" i="17"/>
  <c r="AZ16" i="17"/>
  <c r="AX16" i="17"/>
  <c r="K16" i="17"/>
  <c r="BA27" i="17" s="1"/>
  <c r="AY15" i="17"/>
  <c r="AX15" i="17"/>
  <c r="L15" i="17"/>
  <c r="K15" i="17"/>
  <c r="BA25" i="17" s="1"/>
  <c r="AZ14" i="17"/>
  <c r="AX14" i="17"/>
  <c r="L14" i="17"/>
  <c r="K14" i="17"/>
  <c r="BA23" i="17" s="1"/>
  <c r="AY13" i="17"/>
  <c r="AX13" i="17"/>
  <c r="K13" i="17"/>
  <c r="BA21" i="17" s="1"/>
  <c r="AZ12" i="17"/>
  <c r="AX12" i="17"/>
  <c r="K12" i="17"/>
  <c r="BA19" i="17" s="1"/>
  <c r="AX11" i="17"/>
  <c r="K11" i="17"/>
  <c r="BA17" i="17" s="1"/>
  <c r="AZ10" i="17"/>
  <c r="AX10" i="17"/>
  <c r="K10" i="17"/>
  <c r="BA15" i="17" s="1"/>
  <c r="AY9" i="17"/>
  <c r="AX9" i="17"/>
  <c r="K9" i="17"/>
  <c r="BA13" i="17" s="1"/>
  <c r="AZ8" i="17"/>
  <c r="AX8" i="17"/>
  <c r="L8" i="17"/>
  <c r="K8" i="17"/>
  <c r="BA11" i="17" s="1"/>
  <c r="AY7" i="17"/>
  <c r="AX7" i="17"/>
  <c r="K7" i="17"/>
  <c r="BA9" i="17" s="1"/>
  <c r="AZ6" i="17"/>
  <c r="AX6" i="17"/>
  <c r="K6" i="17"/>
  <c r="BA7" i="17" s="1"/>
  <c r="F6" i="17"/>
  <c r="G6" i="17" s="1"/>
  <c r="J4" i="17"/>
  <c r="AY35" i="16"/>
  <c r="AX35" i="16"/>
  <c r="AZ34" i="16"/>
  <c r="AX34" i="16"/>
  <c r="AY33" i="16"/>
  <c r="AX33" i="16"/>
  <c r="AZ32" i="16"/>
  <c r="AX32" i="16"/>
  <c r="AY31" i="16"/>
  <c r="AX31" i="16"/>
  <c r="AZ30" i="16"/>
  <c r="AX30" i="16"/>
  <c r="AY29" i="16"/>
  <c r="AX29" i="16"/>
  <c r="AZ28" i="16"/>
  <c r="AX28" i="16"/>
  <c r="AY27" i="16"/>
  <c r="AX27" i="16"/>
  <c r="AZ26" i="16"/>
  <c r="AX26" i="16"/>
  <c r="AX25" i="16"/>
  <c r="AZ24" i="16"/>
  <c r="AX24" i="16"/>
  <c r="AX23" i="16"/>
  <c r="AZ22" i="16"/>
  <c r="AX22" i="16"/>
  <c r="AY21" i="16"/>
  <c r="AX21" i="16"/>
  <c r="AZ20" i="16"/>
  <c r="AX20" i="16"/>
  <c r="L20" i="16"/>
  <c r="K20" i="16"/>
  <c r="BA35" i="16" s="1"/>
  <c r="AY19" i="16"/>
  <c r="AX19" i="16"/>
  <c r="K19" i="16"/>
  <c r="BA33" i="16" s="1"/>
  <c r="AZ18" i="16"/>
  <c r="AX18" i="16"/>
  <c r="K18" i="16"/>
  <c r="BA31" i="16" s="1"/>
  <c r="BA17" i="16"/>
  <c r="AY17" i="16"/>
  <c r="AX17" i="16"/>
  <c r="K17" i="16"/>
  <c r="BA29" i="16" s="1"/>
  <c r="AZ16" i="16"/>
  <c r="AX16" i="16"/>
  <c r="K16" i="16"/>
  <c r="BA27" i="16" s="1"/>
  <c r="AY15" i="16"/>
  <c r="AX15" i="16"/>
  <c r="L15" i="16"/>
  <c r="K15" i="16"/>
  <c r="BA25" i="16" s="1"/>
  <c r="AZ14" i="16"/>
  <c r="AX14" i="16"/>
  <c r="L14" i="16"/>
  <c r="K14" i="16"/>
  <c r="BA23" i="16" s="1"/>
  <c r="AY13" i="16"/>
  <c r="AX13" i="16"/>
  <c r="K13" i="16"/>
  <c r="BA21" i="16" s="1"/>
  <c r="AZ12" i="16"/>
  <c r="AX12" i="16"/>
  <c r="K12" i="16"/>
  <c r="BA19" i="16" s="1"/>
  <c r="AX11" i="16"/>
  <c r="K11" i="16"/>
  <c r="AZ10" i="16"/>
  <c r="AX10" i="16"/>
  <c r="K10" i="16"/>
  <c r="BA15" i="16" s="1"/>
  <c r="BA9" i="16"/>
  <c r="AY9" i="16"/>
  <c r="AX9" i="16"/>
  <c r="K9" i="16"/>
  <c r="BA13" i="16" s="1"/>
  <c r="AZ8" i="16"/>
  <c r="AX8" i="16"/>
  <c r="L8" i="16"/>
  <c r="K8" i="16"/>
  <c r="BA11" i="16" s="1"/>
  <c r="AY7" i="16"/>
  <c r="AX7" i="16"/>
  <c r="K7" i="16"/>
  <c r="AZ6" i="16"/>
  <c r="AX6" i="16"/>
  <c r="K6" i="16"/>
  <c r="BA7" i="16" s="1"/>
  <c r="F6" i="16"/>
  <c r="G6" i="16" s="1"/>
  <c r="J4" i="16"/>
  <c r="AY35" i="15"/>
  <c r="AX35" i="15"/>
  <c r="AZ34" i="15"/>
  <c r="AX34" i="15"/>
  <c r="AY33" i="15"/>
  <c r="AX33" i="15"/>
  <c r="AZ32" i="15"/>
  <c r="AX32" i="15"/>
  <c r="AY31" i="15"/>
  <c r="AX31" i="15"/>
  <c r="AZ30" i="15"/>
  <c r="AX30" i="15"/>
  <c r="AY29" i="15"/>
  <c r="AX29" i="15"/>
  <c r="AZ28" i="15"/>
  <c r="AX28" i="15"/>
  <c r="AY27" i="15"/>
  <c r="AX27" i="15"/>
  <c r="AZ26" i="15"/>
  <c r="AX26" i="15"/>
  <c r="BA25" i="15"/>
  <c r="AX25" i="15"/>
  <c r="AZ24" i="15"/>
  <c r="AX24" i="15"/>
  <c r="AX23" i="15"/>
  <c r="AZ22" i="15"/>
  <c r="AX22" i="15"/>
  <c r="AY21" i="15"/>
  <c r="AX21" i="15"/>
  <c r="AZ20" i="15"/>
  <c r="AX20" i="15"/>
  <c r="L20" i="15"/>
  <c r="K20" i="15"/>
  <c r="BA35" i="15" s="1"/>
  <c r="AY19" i="15"/>
  <c r="AX19" i="15"/>
  <c r="K19" i="15"/>
  <c r="BA33" i="15" s="1"/>
  <c r="AZ18" i="15"/>
  <c r="AX18" i="15"/>
  <c r="K18" i="15"/>
  <c r="BA31" i="15" s="1"/>
  <c r="AY17" i="15"/>
  <c r="AX17" i="15"/>
  <c r="K17" i="15"/>
  <c r="BA29" i="15" s="1"/>
  <c r="AZ16" i="15"/>
  <c r="AX16" i="15"/>
  <c r="K16" i="15"/>
  <c r="BA27" i="15" s="1"/>
  <c r="AY15" i="15"/>
  <c r="AX15" i="15"/>
  <c r="L15" i="15"/>
  <c r="K15" i="15"/>
  <c r="AZ14" i="15"/>
  <c r="AX14" i="15"/>
  <c r="L14" i="15"/>
  <c r="K14" i="15"/>
  <c r="BA23" i="15" s="1"/>
  <c r="AY13" i="15"/>
  <c r="AX13" i="15"/>
  <c r="K13" i="15"/>
  <c r="BA21" i="15" s="1"/>
  <c r="AZ12" i="15"/>
  <c r="AX12" i="15"/>
  <c r="K12" i="15"/>
  <c r="BA19" i="15" s="1"/>
  <c r="AX11" i="15"/>
  <c r="K11" i="15"/>
  <c r="BA17" i="15" s="1"/>
  <c r="AZ10" i="15"/>
  <c r="AX10" i="15"/>
  <c r="K10" i="15"/>
  <c r="BA15" i="15" s="1"/>
  <c r="BA9" i="15"/>
  <c r="AY9" i="15"/>
  <c r="AX9" i="15"/>
  <c r="K9" i="15"/>
  <c r="BA13" i="15" s="1"/>
  <c r="AZ8" i="15"/>
  <c r="AX8" i="15"/>
  <c r="L8" i="15"/>
  <c r="K8" i="15"/>
  <c r="BA11" i="15" s="1"/>
  <c r="AY7" i="15"/>
  <c r="AX7" i="15"/>
  <c r="K7" i="15"/>
  <c r="AZ6" i="15"/>
  <c r="AX6" i="15"/>
  <c r="K6" i="15"/>
  <c r="BA7" i="15" s="1"/>
  <c r="F6" i="15"/>
  <c r="AY6" i="15" s="1"/>
  <c r="J4" i="15"/>
  <c r="AX35" i="1"/>
  <c r="AZ34" i="1"/>
  <c r="AX34" i="1"/>
  <c r="AX33" i="1"/>
  <c r="AZ32" i="1"/>
  <c r="AX32" i="1"/>
  <c r="AX31" i="1"/>
  <c r="AZ30" i="1"/>
  <c r="AX30" i="1"/>
  <c r="AX29" i="1"/>
  <c r="AZ28" i="1"/>
  <c r="AX28" i="1"/>
  <c r="AX27" i="1"/>
  <c r="AZ26" i="1"/>
  <c r="AX26" i="1"/>
  <c r="AX25" i="1"/>
  <c r="AZ24" i="1"/>
  <c r="AX24" i="1"/>
  <c r="AX23" i="1"/>
  <c r="AZ22" i="1"/>
  <c r="AX22" i="1"/>
  <c r="AX21" i="1"/>
  <c r="AZ20" i="1"/>
  <c r="AX20" i="1"/>
  <c r="L20" i="1"/>
  <c r="K20" i="1"/>
  <c r="BA35" i="1" s="1"/>
  <c r="AX19" i="1"/>
  <c r="K19" i="1"/>
  <c r="BA33" i="1" s="1"/>
  <c r="AZ18" i="1"/>
  <c r="AX18" i="1"/>
  <c r="AX17" i="1"/>
  <c r="K17" i="1"/>
  <c r="BA29" i="1" s="1"/>
  <c r="AZ16" i="1"/>
  <c r="AX16" i="1"/>
  <c r="K16" i="1"/>
  <c r="BA27" i="1" s="1"/>
  <c r="AX15" i="1"/>
  <c r="L15" i="1"/>
  <c r="K15" i="1"/>
  <c r="BA25" i="1" s="1"/>
  <c r="AZ14" i="1"/>
  <c r="AX14" i="1"/>
  <c r="L14" i="1"/>
  <c r="K14" i="1"/>
  <c r="BA23" i="1" s="1"/>
  <c r="AX13" i="1"/>
  <c r="K13" i="1"/>
  <c r="BA21" i="1" s="1"/>
  <c r="AZ12" i="1"/>
  <c r="AX12" i="1"/>
  <c r="K12" i="1"/>
  <c r="BA19" i="1" s="1"/>
  <c r="AX11" i="1"/>
  <c r="K11" i="1"/>
  <c r="BA17" i="1" s="1"/>
  <c r="AZ10" i="1"/>
  <c r="AX10" i="1"/>
  <c r="K10" i="1"/>
  <c r="BA15" i="1" s="1"/>
  <c r="AX9" i="1"/>
  <c r="K9" i="1"/>
  <c r="BA13" i="1" s="1"/>
  <c r="AZ8" i="1"/>
  <c r="AX8" i="1"/>
  <c r="L8" i="1"/>
  <c r="K8" i="1"/>
  <c r="BA11" i="1" s="1"/>
  <c r="AX7" i="1"/>
  <c r="K7" i="1"/>
  <c r="BA9" i="1" s="1"/>
  <c r="AZ6" i="1"/>
  <c r="AX6" i="1"/>
  <c r="K6" i="1"/>
  <c r="BA7" i="1" s="1"/>
  <c r="F6" i="1"/>
  <c r="AY7" i="1" s="1"/>
  <c r="J4" i="1"/>
  <c r="F7" i="17" l="1"/>
  <c r="L6" i="17"/>
  <c r="AY6" i="17"/>
  <c r="L6" i="16"/>
  <c r="F7" i="16"/>
  <c r="AY6" i="16"/>
  <c r="G6" i="15"/>
  <c r="AY6" i="1"/>
  <c r="G6" i="1"/>
  <c r="G7" i="17" l="1"/>
  <c r="AY8" i="17"/>
  <c r="AY8" i="16"/>
  <c r="G7" i="16"/>
  <c r="L6" i="15"/>
  <c r="F7" i="15"/>
  <c r="F7" i="1"/>
  <c r="L6" i="1"/>
  <c r="F8" i="17" l="1"/>
  <c r="F9" i="17"/>
  <c r="L7" i="17"/>
  <c r="L7" i="16"/>
  <c r="F9" i="16"/>
  <c r="F8" i="16"/>
  <c r="G7" i="15"/>
  <c r="AY8" i="15"/>
  <c r="G7" i="1"/>
  <c r="L7" i="1" s="1"/>
  <c r="AY8" i="1"/>
  <c r="AY9" i="1"/>
  <c r="AY10" i="17" l="1"/>
  <c r="AY11" i="17"/>
  <c r="G8" i="17"/>
  <c r="AY12" i="17"/>
  <c r="G9" i="17"/>
  <c r="G8" i="16"/>
  <c r="AY10" i="16"/>
  <c r="AY11" i="16"/>
  <c r="AY12" i="16"/>
  <c r="G9" i="16"/>
  <c r="L7" i="15"/>
  <c r="F8" i="15"/>
  <c r="F9" i="15"/>
  <c r="F9" i="1"/>
  <c r="F8" i="1"/>
  <c r="L9" i="17" l="1"/>
  <c r="F10" i="17"/>
  <c r="F10" i="16"/>
  <c r="L9" i="16"/>
  <c r="G8" i="15"/>
  <c r="AY11" i="15"/>
  <c r="AY10" i="15"/>
  <c r="AY12" i="15"/>
  <c r="G9" i="15"/>
  <c r="AY10" i="1"/>
  <c r="AY11" i="1"/>
  <c r="G8" i="1"/>
  <c r="AY12" i="1"/>
  <c r="G9" i="1"/>
  <c r="AY13" i="1"/>
  <c r="AY14" i="17" l="1"/>
  <c r="G10" i="17"/>
  <c r="G10" i="16"/>
  <c r="AY14" i="16"/>
  <c r="F10" i="15"/>
  <c r="L9" i="15"/>
  <c r="F10" i="1"/>
  <c r="AY14" i="1" s="1"/>
  <c r="L9" i="1"/>
  <c r="AY15" i="1"/>
  <c r="G10" i="1" l="1"/>
  <c r="F11" i="1" s="1"/>
  <c r="F11" i="17"/>
  <c r="L10" i="17"/>
  <c r="L10" i="16"/>
  <c r="F11" i="16"/>
  <c r="G10" i="15"/>
  <c r="AY14" i="15"/>
  <c r="L10" i="1"/>
  <c r="AY17" i="1"/>
  <c r="G11" i="1" l="1"/>
  <c r="L11" i="1" s="1"/>
  <c r="AY16" i="1"/>
  <c r="G11" i="17"/>
  <c r="AY16" i="17"/>
  <c r="AY16" i="16"/>
  <c r="G11" i="16"/>
  <c r="L10" i="15"/>
  <c r="F11" i="15"/>
  <c r="F12" i="1"/>
  <c r="F13" i="1"/>
  <c r="F13" i="17" l="1"/>
  <c r="L11" i="17"/>
  <c r="F12" i="17"/>
  <c r="L11" i="16"/>
  <c r="F13" i="16"/>
  <c r="F12" i="16"/>
  <c r="AY16" i="15"/>
  <c r="G11" i="15"/>
  <c r="AY21" i="1"/>
  <c r="AY20" i="1"/>
  <c r="G13" i="1"/>
  <c r="L13" i="1" s="1"/>
  <c r="AY19" i="1"/>
  <c r="F14" i="1"/>
  <c r="F15" i="1"/>
  <c r="AY18" i="1"/>
  <c r="G12" i="1"/>
  <c r="L12" i="1" s="1"/>
  <c r="F14" i="17" l="1"/>
  <c r="G12" i="17"/>
  <c r="AY18" i="17"/>
  <c r="F15" i="17"/>
  <c r="G13" i="17"/>
  <c r="L13" i="17" s="1"/>
  <c r="AY20" i="17"/>
  <c r="F15" i="16"/>
  <c r="G12" i="16"/>
  <c r="AY18" i="16"/>
  <c r="F14" i="16"/>
  <c r="AY20" i="16"/>
  <c r="G13" i="16"/>
  <c r="L13" i="16" s="1"/>
  <c r="L11" i="15"/>
  <c r="F13" i="15"/>
  <c r="F12" i="15"/>
  <c r="F16" i="1"/>
  <c r="G16" i="1" s="1"/>
  <c r="G15" i="1"/>
  <c r="AY24" i="1"/>
  <c r="AY25" i="1"/>
  <c r="AY22" i="1"/>
  <c r="G14" i="1"/>
  <c r="AY23" i="1"/>
  <c r="F17" i="1" l="1"/>
  <c r="G17" i="1" s="1"/>
  <c r="L16" i="1"/>
  <c r="AY25" i="17"/>
  <c r="AY24" i="17"/>
  <c r="G15" i="17"/>
  <c r="F16" i="17"/>
  <c r="L12" i="17"/>
  <c r="AY23" i="17"/>
  <c r="AY22" i="17"/>
  <c r="G14" i="17"/>
  <c r="F16" i="16"/>
  <c r="L12" i="16"/>
  <c r="G14" i="16"/>
  <c r="AY22" i="16"/>
  <c r="AY23" i="16"/>
  <c r="AY25" i="16"/>
  <c r="G15" i="16"/>
  <c r="AY24" i="16"/>
  <c r="G13" i="15"/>
  <c r="L13" i="15" s="1"/>
  <c r="AY20" i="15"/>
  <c r="AY18" i="15"/>
  <c r="F15" i="15"/>
  <c r="F14" i="15"/>
  <c r="G12" i="15"/>
  <c r="AY29" i="1"/>
  <c r="AY26" i="1"/>
  <c r="AY27" i="1"/>
  <c r="AY31" i="1"/>
  <c r="AY28" i="1" l="1"/>
  <c r="F18" i="1"/>
  <c r="L17" i="1"/>
  <c r="AY26" i="17"/>
  <c r="G16" i="17"/>
  <c r="AY26" i="16"/>
  <c r="G16" i="16"/>
  <c r="F16" i="15"/>
  <c r="L12" i="15"/>
  <c r="AY23" i="15"/>
  <c r="G14" i="15"/>
  <c r="AY22" i="15"/>
  <c r="G15" i="15"/>
  <c r="AY25" i="15"/>
  <c r="AY24" i="15"/>
  <c r="AY33" i="1"/>
  <c r="AY30" i="1" l="1"/>
  <c r="G18" i="1"/>
  <c r="L16" i="17"/>
  <c r="F17" i="17"/>
  <c r="F17" i="16"/>
  <c r="L16" i="16"/>
  <c r="G16" i="15"/>
  <c r="AY26" i="15"/>
  <c r="AY35" i="1"/>
  <c r="F19" i="1" l="1"/>
  <c r="L18" i="1"/>
  <c r="AY28" i="17"/>
  <c r="G17" i="17"/>
  <c r="AY28" i="16"/>
  <c r="G17" i="16"/>
  <c r="F17" i="15"/>
  <c r="L16" i="15"/>
  <c r="AY32" i="1" l="1"/>
  <c r="G19" i="1"/>
  <c r="F18" i="17"/>
  <c r="L17" i="17"/>
  <c r="F18" i="16"/>
  <c r="L17" i="16"/>
  <c r="AY28" i="15"/>
  <c r="G17" i="15"/>
  <c r="F20" i="1" l="1"/>
  <c r="L19" i="1"/>
  <c r="AY30" i="17"/>
  <c r="G18" i="17"/>
  <c r="G18" i="16"/>
  <c r="AY30" i="16"/>
  <c r="F18" i="15"/>
  <c r="L17" i="15"/>
  <c r="AY34" i="1" l="1"/>
  <c r="G20" i="1"/>
  <c r="L18" i="17"/>
  <c r="F19" i="17"/>
  <c r="L18" i="16"/>
  <c r="F19" i="16"/>
  <c r="AY30" i="15"/>
  <c r="G18" i="15"/>
  <c r="G19" i="17" l="1"/>
  <c r="AY32" i="17"/>
  <c r="G19" i="16"/>
  <c r="AY32" i="16"/>
  <c r="L18" i="15"/>
  <c r="F19" i="15"/>
  <c r="F20" i="17" l="1"/>
  <c r="L19" i="17"/>
  <c r="L19" i="16"/>
  <c r="F20" i="16"/>
  <c r="G19" i="15"/>
  <c r="AY32" i="15"/>
  <c r="G20" i="17" l="1"/>
  <c r="AY34" i="17"/>
  <c r="G20" i="16"/>
  <c r="AY34" i="16"/>
  <c r="F20" i="15"/>
  <c r="L19" i="15"/>
  <c r="G20" i="15" l="1"/>
  <c r="AY34" i="15"/>
</calcChain>
</file>

<file path=xl/sharedStrings.xml><?xml version="1.0" encoding="utf-8"?>
<sst xmlns="http://schemas.openxmlformats.org/spreadsheetml/2006/main" count="248" uniqueCount="40">
  <si>
    <t>Hoy:</t>
  </si>
  <si>
    <t>#</t>
  </si>
  <si>
    <t>Tarea</t>
  </si>
  <si>
    <t>Dur. (días)</t>
  </si>
  <si>
    <t>Depende de (#)</t>
  </si>
  <si>
    <t>Tipo dep.</t>
  </si>
  <si>
    <t>Inicio</t>
  </si>
  <si>
    <t>Fin</t>
  </si>
  <si>
    <t>Estatus</t>
  </si>
  <si>
    <t>Inicio real</t>
  </si>
  <si>
    <t>Fin real</t>
  </si>
  <si>
    <t>Dur. real (días)</t>
  </si>
  <si>
    <t>Desvío (días)</t>
  </si>
  <si>
    <t>Estimado</t>
  </si>
  <si>
    <t>Real</t>
  </si>
  <si>
    <t>Muestras finalizadas en China</t>
  </si>
  <si>
    <t>Pendiente</t>
  </si>
  <si>
    <t>Courier a Mexico</t>
  </si>
  <si>
    <t>DEADLINE aprobación Cloé (confirmación muestra final)</t>
  </si>
  <si>
    <t>FI</t>
  </si>
  <si>
    <t>Reunión con Comité y entrega de muestras</t>
  </si>
  <si>
    <t>Confirmación de muestras y packaging</t>
  </si>
  <si>
    <t>Master Cloé (modelo &amp; upc)</t>
  </si>
  <si>
    <t>Producción de producto</t>
  </si>
  <si>
    <t>Producción de packaging</t>
  </si>
  <si>
    <t>Muestras de producción a México (fotografía)</t>
  </si>
  <si>
    <t>II</t>
  </si>
  <si>
    <t>Gestión proveedores Cloé</t>
  </si>
  <si>
    <t>Inspección</t>
  </si>
  <si>
    <t>Orden terminada + CUT OFF + tiempos puerto</t>
  </si>
  <si>
    <t>Tránsito marítimo</t>
  </si>
  <si>
    <t>Aduana México</t>
  </si>
  <si>
    <t>Lanzamiento</t>
  </si>
  <si>
    <t>En curso</t>
  </si>
  <si>
    <t>CRONOGRAMA DE PROYECTO - PEANUTS  2026</t>
  </si>
  <si>
    <t>TOTE BAG FOLDABLE - Azul y negro</t>
  </si>
  <si>
    <t>PORTA PASAPORTES - Azul y negro</t>
  </si>
  <si>
    <t>NECK PILLOW - Azul y negro</t>
  </si>
  <si>
    <t>Identificador de equipaje</t>
  </si>
  <si>
    <t>Fecha de aprobación de renders: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</si>
</sst>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0"/>
  </numFmts>
  <fonts count="7" x14ac:knownFonts="1">
    <font>
      <sz val="11"/>
      <color theme="1"/>
      <name val="Calibri"/>
      <family val="2"/>
      <charset val="1"/>
    </font>
    <font>
      <b/>
      <sz val="14"/>
      <color rgb="FF30549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000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4472C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/>
    </xf>
    <xf numFmtId="14" fontId="4" fillId="3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5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</dxf>
    <dxf>
      <font>
        <color rgb="FF3F3F3F"/>
      </font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</dxf>
    <dxf>
      <font>
        <color rgb="FF3F3F3F"/>
      </font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</dxf>
    <dxf>
      <font>
        <color rgb="FF3F3F3F"/>
      </font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</dxf>
    <dxf>
      <font>
        <color rgb="FF3F3F3F"/>
      </font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PASSPORT HOLDER — BLACK (6TRAO26787NEG) — Estimado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'TOTE BAG FOLDABLES'!$AY$5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'TOTE BAG FOLDABLES'!$AX$6:$AX$35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'TOTE BAG FOLDABLES'!$AY$6:$AY$35</c:f>
              <c:numCache>
                <c:formatCode>m/d/yyyy</c:formatCode>
                <c:ptCount val="30"/>
                <c:pt idx="0">
                  <c:v>46190</c:v>
                </c:pt>
                <c:pt idx="1">
                  <c:v>46196</c:v>
                </c:pt>
                <c:pt idx="2">
                  <c:v>46220</c:v>
                </c:pt>
                <c:pt idx="3">
                  <c:v>46223</c:v>
                </c:pt>
                <c:pt idx="4">
                  <c:v>46230</c:v>
                </c:pt>
                <c:pt idx="5">
                  <c:v>46249</c:v>
                </c:pt>
                <c:pt idx="6">
                  <c:v>46230</c:v>
                </c:pt>
                <c:pt idx="7">
                  <c:v>46233</c:v>
                </c:pt>
                <c:pt idx="8">
                  <c:v>46242</c:v>
                </c:pt>
                <c:pt idx="9">
                  <c:v>46254</c:v>
                </c:pt>
                <c:pt idx="10">
                  <c:v>46246</c:v>
                </c:pt>
                <c:pt idx="11">
                  <c:v>46261</c:v>
                </c:pt>
                <c:pt idx="12">
                  <c:v>46253</c:v>
                </c:pt>
                <c:pt idx="13">
                  <c:v>46266</c:v>
                </c:pt>
                <c:pt idx="14">
                  <c:v>46253</c:v>
                </c:pt>
                <c:pt idx="15">
                  <c:v>46266</c:v>
                </c:pt>
                <c:pt idx="16">
                  <c:v>46253</c:v>
                </c:pt>
                <c:pt idx="17">
                  <c:v>46296</c:v>
                </c:pt>
                <c:pt idx="18">
                  <c:v>46253</c:v>
                </c:pt>
                <c:pt idx="19">
                  <c:v>46266</c:v>
                </c:pt>
                <c:pt idx="20">
                  <c:v>46313</c:v>
                </c:pt>
                <c:pt idx="21">
                  <c:v>46327</c:v>
                </c:pt>
                <c:pt idx="22">
                  <c:v>46320</c:v>
                </c:pt>
                <c:pt idx="23">
                  <c:v>46333</c:v>
                </c:pt>
                <c:pt idx="24">
                  <c:v>46335</c:v>
                </c:pt>
                <c:pt idx="25">
                  <c:v>46348</c:v>
                </c:pt>
                <c:pt idx="26">
                  <c:v>46370</c:v>
                </c:pt>
                <c:pt idx="27">
                  <c:v>46383</c:v>
                </c:pt>
                <c:pt idx="28">
                  <c:v>46380</c:v>
                </c:pt>
                <c:pt idx="29">
                  <c:v>46454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9-494F-A7A8-958B2A393231}"/>
            </c:ext>
          </c:extLst>
        </c:ser>
        <c:ser>
          <c:idx val="1"/>
          <c:order val="1"/>
          <c:tx>
            <c:strRef>
              <c:f>'TOTE BAG FOLDABLES'!$AZ$5</c:f>
              <c:strCache>
                <c:ptCount val="1"/>
                <c:pt idx="0">
                  <c:v>Estimado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'TOTE BAG FOLDABLES'!$AX$6:$AX$35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'TOTE BAG FOLDABLES'!$AZ$6:$AZ$35</c:f>
              <c:numCache>
                <c:formatCode>General</c:formatCode>
                <c:ptCount val="30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60</c:v>
                </c:pt>
                <c:pt idx="13">
                  <c:v>0</c:v>
                </c:pt>
                <c:pt idx="14">
                  <c:v>30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9-494F-A7A8-958B2A393231}"/>
            </c:ext>
          </c:extLst>
        </c:ser>
        <c:ser>
          <c:idx val="2"/>
          <c:order val="2"/>
          <c:tx>
            <c:strRef>
              <c:f>'TOTE BAG FOLDABLES'!$BA$5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'TOTE BAG FOLDABLES'!$AX$6:$AX$35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'TOTE BAG FOLDABLES'!$BA$6:$BA$35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D9-494F-A7A8-958B2A393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6431756"/>
        <c:axId val="22316213"/>
      </c:barChart>
      <c:catAx>
        <c:axId val="164317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22316213"/>
        <c:crosses val="autoZero"/>
        <c:auto val="1"/>
        <c:lblAlgn val="ctr"/>
        <c:lblOffset val="100"/>
        <c:noMultiLvlLbl val="0"/>
      </c:catAx>
      <c:valAx>
        <c:axId val="22316213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1643175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PASSPORT HOLDER — BLACK (6TRAO26787NEG) — Estimado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'PORTA PASAPORTES'!$AY$5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'PORTA PASAPORTES'!$AX$6:$AX$35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'PORTA PASAPORTES'!$AY$6:$AY$35</c:f>
              <c:numCache>
                <c:formatCode>m/d/yyyy</c:formatCode>
                <c:ptCount val="30"/>
                <c:pt idx="0">
                  <c:v>46190</c:v>
                </c:pt>
                <c:pt idx="1">
                  <c:v>46196</c:v>
                </c:pt>
                <c:pt idx="2">
                  <c:v>46220</c:v>
                </c:pt>
                <c:pt idx="3">
                  <c:v>46223</c:v>
                </c:pt>
                <c:pt idx="4">
                  <c:v>46230</c:v>
                </c:pt>
                <c:pt idx="5">
                  <c:v>46249</c:v>
                </c:pt>
                <c:pt idx="6">
                  <c:v>46230</c:v>
                </c:pt>
                <c:pt idx="7">
                  <c:v>46233</c:v>
                </c:pt>
                <c:pt idx="8">
                  <c:v>46242</c:v>
                </c:pt>
                <c:pt idx="9">
                  <c:v>46254</c:v>
                </c:pt>
                <c:pt idx="10">
                  <c:v>46246</c:v>
                </c:pt>
                <c:pt idx="11">
                  <c:v>46261</c:v>
                </c:pt>
                <c:pt idx="12">
                  <c:v>46253</c:v>
                </c:pt>
                <c:pt idx="13">
                  <c:v>46266</c:v>
                </c:pt>
                <c:pt idx="14">
                  <c:v>46253</c:v>
                </c:pt>
                <c:pt idx="15">
                  <c:v>46266</c:v>
                </c:pt>
                <c:pt idx="16">
                  <c:v>46253</c:v>
                </c:pt>
                <c:pt idx="17">
                  <c:v>46296</c:v>
                </c:pt>
                <c:pt idx="18">
                  <c:v>46253</c:v>
                </c:pt>
                <c:pt idx="19">
                  <c:v>46266</c:v>
                </c:pt>
                <c:pt idx="20">
                  <c:v>46313</c:v>
                </c:pt>
                <c:pt idx="21">
                  <c:v>46327</c:v>
                </c:pt>
                <c:pt idx="22">
                  <c:v>46320</c:v>
                </c:pt>
                <c:pt idx="23">
                  <c:v>46333</c:v>
                </c:pt>
                <c:pt idx="24">
                  <c:v>46335</c:v>
                </c:pt>
                <c:pt idx="25">
                  <c:v>46348</c:v>
                </c:pt>
                <c:pt idx="26">
                  <c:v>46370</c:v>
                </c:pt>
                <c:pt idx="27">
                  <c:v>46383</c:v>
                </c:pt>
                <c:pt idx="28">
                  <c:v>46380</c:v>
                </c:pt>
                <c:pt idx="29">
                  <c:v>46454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B-40B8-A981-7BD2F0D732F3}"/>
            </c:ext>
          </c:extLst>
        </c:ser>
        <c:ser>
          <c:idx val="1"/>
          <c:order val="1"/>
          <c:tx>
            <c:strRef>
              <c:f>'PORTA PASAPORTES'!$AZ$5</c:f>
              <c:strCache>
                <c:ptCount val="1"/>
                <c:pt idx="0">
                  <c:v>Estimado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'PORTA PASAPORTES'!$AX$6:$AX$35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'PORTA PASAPORTES'!$AZ$6:$AZ$35</c:f>
              <c:numCache>
                <c:formatCode>General</c:formatCode>
                <c:ptCount val="30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60</c:v>
                </c:pt>
                <c:pt idx="13">
                  <c:v>0</c:v>
                </c:pt>
                <c:pt idx="14">
                  <c:v>30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B-40B8-A981-7BD2F0D732F3}"/>
            </c:ext>
          </c:extLst>
        </c:ser>
        <c:ser>
          <c:idx val="2"/>
          <c:order val="2"/>
          <c:tx>
            <c:strRef>
              <c:f>'PORTA PASAPORTES'!$BA$5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'PORTA PASAPORTES'!$AX$6:$AX$35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'PORTA PASAPORTES'!$BA$6:$BA$35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BB-40B8-A981-7BD2F0D73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6431756"/>
        <c:axId val="22316213"/>
      </c:barChart>
      <c:catAx>
        <c:axId val="164317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22316213"/>
        <c:crosses val="autoZero"/>
        <c:auto val="1"/>
        <c:lblAlgn val="ctr"/>
        <c:lblOffset val="100"/>
        <c:noMultiLvlLbl val="0"/>
      </c:catAx>
      <c:valAx>
        <c:axId val="22316213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1643175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PASSPORT HOLDER — BLACK (6TRAO26787NEG) — Estimado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'NECK PILLOW'!$AY$5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'NECK PILLOW'!$AX$6:$AX$35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'NECK PILLOW'!$AY$6:$AY$35</c:f>
              <c:numCache>
                <c:formatCode>m/d/yyyy</c:formatCode>
                <c:ptCount val="30"/>
                <c:pt idx="0">
                  <c:v>46190</c:v>
                </c:pt>
                <c:pt idx="1">
                  <c:v>46196</c:v>
                </c:pt>
                <c:pt idx="2">
                  <c:v>46220</c:v>
                </c:pt>
                <c:pt idx="3">
                  <c:v>46223</c:v>
                </c:pt>
                <c:pt idx="4">
                  <c:v>46230</c:v>
                </c:pt>
                <c:pt idx="5">
                  <c:v>46249</c:v>
                </c:pt>
                <c:pt idx="6">
                  <c:v>46230</c:v>
                </c:pt>
                <c:pt idx="7">
                  <c:v>46233</c:v>
                </c:pt>
                <c:pt idx="8">
                  <c:v>46242</c:v>
                </c:pt>
                <c:pt idx="9">
                  <c:v>46254</c:v>
                </c:pt>
                <c:pt idx="10">
                  <c:v>46246</c:v>
                </c:pt>
                <c:pt idx="11">
                  <c:v>46261</c:v>
                </c:pt>
                <c:pt idx="12">
                  <c:v>46253</c:v>
                </c:pt>
                <c:pt idx="13">
                  <c:v>46266</c:v>
                </c:pt>
                <c:pt idx="14">
                  <c:v>46253</c:v>
                </c:pt>
                <c:pt idx="15">
                  <c:v>46266</c:v>
                </c:pt>
                <c:pt idx="16">
                  <c:v>46253</c:v>
                </c:pt>
                <c:pt idx="17">
                  <c:v>46296</c:v>
                </c:pt>
                <c:pt idx="18">
                  <c:v>46253</c:v>
                </c:pt>
                <c:pt idx="19">
                  <c:v>46266</c:v>
                </c:pt>
                <c:pt idx="20">
                  <c:v>46313</c:v>
                </c:pt>
                <c:pt idx="21">
                  <c:v>46327</c:v>
                </c:pt>
                <c:pt idx="22">
                  <c:v>46320</c:v>
                </c:pt>
                <c:pt idx="23">
                  <c:v>46333</c:v>
                </c:pt>
                <c:pt idx="24">
                  <c:v>46335</c:v>
                </c:pt>
                <c:pt idx="25">
                  <c:v>46348</c:v>
                </c:pt>
                <c:pt idx="26">
                  <c:v>46370</c:v>
                </c:pt>
                <c:pt idx="27">
                  <c:v>46383</c:v>
                </c:pt>
                <c:pt idx="28">
                  <c:v>46380</c:v>
                </c:pt>
                <c:pt idx="29">
                  <c:v>46454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0-40EF-8A7A-56F38130B483}"/>
            </c:ext>
          </c:extLst>
        </c:ser>
        <c:ser>
          <c:idx val="1"/>
          <c:order val="1"/>
          <c:tx>
            <c:strRef>
              <c:f>'NECK PILLOW'!$AZ$5</c:f>
              <c:strCache>
                <c:ptCount val="1"/>
                <c:pt idx="0">
                  <c:v>Estimado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'NECK PILLOW'!$AX$6:$AX$35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'NECK PILLOW'!$AZ$6:$AZ$35</c:f>
              <c:numCache>
                <c:formatCode>General</c:formatCode>
                <c:ptCount val="30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60</c:v>
                </c:pt>
                <c:pt idx="13">
                  <c:v>0</c:v>
                </c:pt>
                <c:pt idx="14">
                  <c:v>30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60-40EF-8A7A-56F38130B483}"/>
            </c:ext>
          </c:extLst>
        </c:ser>
        <c:ser>
          <c:idx val="2"/>
          <c:order val="2"/>
          <c:tx>
            <c:strRef>
              <c:f>'NECK PILLOW'!$BA$5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'NECK PILLOW'!$AX$6:$AX$35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'NECK PILLOW'!$BA$6:$BA$35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60-40EF-8A7A-56F38130B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6431756"/>
        <c:axId val="22316213"/>
      </c:barChart>
      <c:catAx>
        <c:axId val="164317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22316213"/>
        <c:crosses val="autoZero"/>
        <c:auto val="1"/>
        <c:lblAlgn val="ctr"/>
        <c:lblOffset val="100"/>
        <c:noMultiLvlLbl val="0"/>
      </c:catAx>
      <c:valAx>
        <c:axId val="22316213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1643175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PASSPORT HOLDER — BLACK (6TRAO26787NEG) — Estimado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'ID TAG'!$AY$5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'ID TAG'!$AX$6:$AX$35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'ID TAG'!$AY$6:$AY$35</c:f>
              <c:numCache>
                <c:formatCode>m/d/yyyy</c:formatCode>
                <c:ptCount val="30"/>
                <c:pt idx="0">
                  <c:v>46190</c:v>
                </c:pt>
                <c:pt idx="1">
                  <c:v>46196</c:v>
                </c:pt>
                <c:pt idx="2">
                  <c:v>46220</c:v>
                </c:pt>
                <c:pt idx="3">
                  <c:v>46223</c:v>
                </c:pt>
                <c:pt idx="4">
                  <c:v>46230</c:v>
                </c:pt>
                <c:pt idx="5">
                  <c:v>46249</c:v>
                </c:pt>
                <c:pt idx="6">
                  <c:v>46230</c:v>
                </c:pt>
                <c:pt idx="7">
                  <c:v>46233</c:v>
                </c:pt>
                <c:pt idx="8">
                  <c:v>46242</c:v>
                </c:pt>
                <c:pt idx="9">
                  <c:v>46254</c:v>
                </c:pt>
                <c:pt idx="10">
                  <c:v>46246</c:v>
                </c:pt>
                <c:pt idx="11">
                  <c:v>46261</c:v>
                </c:pt>
                <c:pt idx="12">
                  <c:v>46253</c:v>
                </c:pt>
                <c:pt idx="13">
                  <c:v>46266</c:v>
                </c:pt>
                <c:pt idx="14">
                  <c:v>46253</c:v>
                </c:pt>
                <c:pt idx="15">
                  <c:v>46266</c:v>
                </c:pt>
                <c:pt idx="16">
                  <c:v>46253</c:v>
                </c:pt>
                <c:pt idx="17">
                  <c:v>46296</c:v>
                </c:pt>
                <c:pt idx="18">
                  <c:v>46253</c:v>
                </c:pt>
                <c:pt idx="19">
                  <c:v>46266</c:v>
                </c:pt>
                <c:pt idx="20">
                  <c:v>46313</c:v>
                </c:pt>
                <c:pt idx="21">
                  <c:v>46327</c:v>
                </c:pt>
                <c:pt idx="22">
                  <c:v>46320</c:v>
                </c:pt>
                <c:pt idx="23">
                  <c:v>46333</c:v>
                </c:pt>
                <c:pt idx="24">
                  <c:v>46335</c:v>
                </c:pt>
                <c:pt idx="25">
                  <c:v>46348</c:v>
                </c:pt>
                <c:pt idx="26">
                  <c:v>46370</c:v>
                </c:pt>
                <c:pt idx="27">
                  <c:v>46383</c:v>
                </c:pt>
                <c:pt idx="28">
                  <c:v>46380</c:v>
                </c:pt>
                <c:pt idx="29">
                  <c:v>46454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5-41AB-9DB8-4E08FD607D03}"/>
            </c:ext>
          </c:extLst>
        </c:ser>
        <c:ser>
          <c:idx val="1"/>
          <c:order val="1"/>
          <c:tx>
            <c:strRef>
              <c:f>'ID TAG'!$AZ$5</c:f>
              <c:strCache>
                <c:ptCount val="1"/>
                <c:pt idx="0">
                  <c:v>Estimado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'ID TAG'!$AX$6:$AX$35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'ID TAG'!$AZ$6:$AZ$35</c:f>
              <c:numCache>
                <c:formatCode>General</c:formatCode>
                <c:ptCount val="30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60</c:v>
                </c:pt>
                <c:pt idx="13">
                  <c:v>0</c:v>
                </c:pt>
                <c:pt idx="14">
                  <c:v>30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85-41AB-9DB8-4E08FD607D03}"/>
            </c:ext>
          </c:extLst>
        </c:ser>
        <c:ser>
          <c:idx val="2"/>
          <c:order val="2"/>
          <c:tx>
            <c:strRef>
              <c:f>'ID TAG'!$BA$5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'ID TAG'!$AX$6:$AX$35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'ID TAG'!$BA$6:$BA$35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85-41AB-9DB8-4E08FD607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6431756"/>
        <c:axId val="22316213"/>
      </c:barChart>
      <c:catAx>
        <c:axId val="164317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22316213"/>
        <c:crosses val="autoZero"/>
        <c:auto val="1"/>
        <c:lblAlgn val="ctr"/>
        <c:lblOffset val="100"/>
        <c:noMultiLvlLbl val="0"/>
      </c:catAx>
      <c:valAx>
        <c:axId val="22316213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1643175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43</xdr:col>
      <xdr:colOff>69350</xdr:colOff>
      <xdr:row>35</xdr:row>
      <xdr:rowOff>1889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8856B8-430A-4674-8558-74C26BD097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43</xdr:col>
      <xdr:colOff>69350</xdr:colOff>
      <xdr:row>35</xdr:row>
      <xdr:rowOff>1889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2C8B56-9022-488A-87DE-06BBF0276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43</xdr:col>
      <xdr:colOff>69349</xdr:colOff>
      <xdr:row>35</xdr:row>
      <xdr:rowOff>1889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B4CC43-D66C-4621-A051-0A6394980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43</xdr:col>
      <xdr:colOff>69350</xdr:colOff>
      <xdr:row>35</xdr:row>
      <xdr:rowOff>1889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7E773F-6BDF-455A-BA9F-A014F53C2F0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f132d59-77dd-4a04-830e-549d40af591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9536-540D-4E1C-812C-82890242DD86}">
  <dimension ref="A1:BA35"/>
  <sheetViews>
    <sheetView showGridLines="0" zoomScale="110" zoomScaleNormal="110" workbookViewId="0">
      <selection activeCell="I6" sqref="I6"/>
    </sheetView>
  </sheetViews>
  <sheetFormatPr defaultColWidth="8.54296875" defaultRowHeight="14.5" x14ac:dyDescent="0.35"/>
  <cols>
    <col min="1" max="1" width="4.453125" customWidth="1"/>
    <col min="2" max="2" width="41.54296875" customWidth="1"/>
    <col min="3" max="3" width="10.7265625" customWidth="1"/>
    <col min="4" max="4" width="13" customWidth="1"/>
    <col min="5" max="5" width="0" hidden="1" customWidth="1"/>
    <col min="6" max="6" width="12" hidden="1" customWidth="1"/>
    <col min="7" max="7" width="13" hidden="1" customWidth="1"/>
    <col min="8" max="12" width="13" customWidth="1"/>
    <col min="13" max="13" width="2" customWidth="1"/>
    <col min="14" max="14" width="3.453125" customWidth="1"/>
    <col min="45" max="45" width="10.81640625" customWidth="1"/>
  </cols>
  <sheetData>
    <row r="1" spans="1:53" ht="18" customHeight="1" x14ac:dyDescent="0.45">
      <c r="A1" s="1" t="s">
        <v>34</v>
      </c>
    </row>
    <row r="3" spans="1:53" x14ac:dyDescent="0.35">
      <c r="A3" s="14" t="s">
        <v>35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53" x14ac:dyDescent="0.35">
      <c r="B4" s="2" t="s">
        <v>39</v>
      </c>
      <c r="C4" s="3">
        <v>46190</v>
      </c>
      <c r="I4" s="2" t="s">
        <v>0</v>
      </c>
      <c r="J4" s="3">
        <f ca="1">TODAY()</f>
        <v>46204</v>
      </c>
    </row>
    <row r="5" spans="1:53" x14ac:dyDescent="0.35">
      <c r="A5" s="4" t="s">
        <v>1</v>
      </c>
      <c r="B5" s="5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AX5" t="s">
        <v>2</v>
      </c>
      <c r="AY5" t="s">
        <v>6</v>
      </c>
      <c r="AZ5" t="s">
        <v>13</v>
      </c>
      <c r="BA5" t="s">
        <v>14</v>
      </c>
    </row>
    <row r="6" spans="1:53" x14ac:dyDescent="0.35">
      <c r="A6" s="6">
        <v>1</v>
      </c>
      <c r="B6" s="6" t="s">
        <v>15</v>
      </c>
      <c r="C6" s="7">
        <v>30</v>
      </c>
      <c r="D6" s="7"/>
      <c r="E6" s="7"/>
      <c r="F6" s="8">
        <f>$C$4</f>
        <v>46190</v>
      </c>
      <c r="G6" s="8">
        <f t="shared" ref="G6:G20" si="0">F6+C6</f>
        <v>46220</v>
      </c>
      <c r="H6" s="9" t="s">
        <v>33</v>
      </c>
      <c r="I6" s="10">
        <v>46196</v>
      </c>
      <c r="J6" s="10"/>
      <c r="K6" s="11" t="str">
        <f t="shared" ref="K6:K20" si="1">IF(OR($I6="",$J6=""),"",$J6-$I6)</f>
        <v/>
      </c>
      <c r="L6" s="12" t="str">
        <f t="shared" ref="L6:L20" si="2">IF($J6="","",$J6-$G6)</f>
        <v/>
      </c>
      <c r="AX6" t="str">
        <f>A6&amp;". "&amp;B6</f>
        <v>1. Muestras finalizadas en China</v>
      </c>
      <c r="AY6" s="13">
        <f>F6</f>
        <v>46190</v>
      </c>
      <c r="AZ6">
        <f>C6</f>
        <v>30</v>
      </c>
      <c r="BA6">
        <v>0</v>
      </c>
    </row>
    <row r="7" spans="1:53" x14ac:dyDescent="0.35">
      <c r="A7" s="6">
        <v>2</v>
      </c>
      <c r="B7" s="6" t="s">
        <v>17</v>
      </c>
      <c r="C7" s="7">
        <v>10</v>
      </c>
      <c r="D7" s="7">
        <v>1</v>
      </c>
      <c r="E7" s="7"/>
      <c r="F7" s="8">
        <f t="shared" ref="F7:F15" si="3">IF($D7="",$C$4,IF($E7="II",INDEX($F$6:$F$20,MATCH($D7,$A$6:$A$20,0)),INDEX($G$6:$G$20,MATCH($D7,$A$6:$A$20,0))))</f>
        <v>46220</v>
      </c>
      <c r="G7" s="8">
        <f t="shared" si="0"/>
        <v>46230</v>
      </c>
      <c r="H7" s="9" t="s">
        <v>16</v>
      </c>
      <c r="I7" s="10">
        <v>46223</v>
      </c>
      <c r="J7" s="10"/>
      <c r="K7" s="11" t="str">
        <f t="shared" si="1"/>
        <v/>
      </c>
      <c r="L7" s="12" t="str">
        <f t="shared" si="2"/>
        <v/>
      </c>
      <c r="AX7" t="str">
        <f>"     "&amp;A6&amp;" · real"</f>
        <v xml:space="preserve">     1 · real</v>
      </c>
      <c r="AY7" s="13">
        <f>IF($I6="",$F6,$I6)</f>
        <v>46196</v>
      </c>
      <c r="AZ7">
        <v>0</v>
      </c>
      <c r="BA7">
        <f>IF($K6="",0,$K6)</f>
        <v>0</v>
      </c>
    </row>
    <row r="8" spans="1:53" x14ac:dyDescent="0.35">
      <c r="A8" s="6">
        <v>3</v>
      </c>
      <c r="B8" s="6" t="s">
        <v>18</v>
      </c>
      <c r="C8" s="7">
        <v>5</v>
      </c>
      <c r="D8" s="7">
        <v>2</v>
      </c>
      <c r="E8" s="7" t="s">
        <v>19</v>
      </c>
      <c r="F8" s="8">
        <f t="shared" si="3"/>
        <v>46230</v>
      </c>
      <c r="G8" s="8">
        <f t="shared" si="0"/>
        <v>46235</v>
      </c>
      <c r="H8" s="9" t="s">
        <v>16</v>
      </c>
      <c r="I8" s="10">
        <v>46249</v>
      </c>
      <c r="J8" s="10"/>
      <c r="K8" s="11" t="str">
        <f t="shared" si="1"/>
        <v/>
      </c>
      <c r="L8" s="12" t="str">
        <f t="shared" si="2"/>
        <v/>
      </c>
      <c r="AX8" t="str">
        <f>A7&amp;". "&amp;B7</f>
        <v>2. Courier a Mexico</v>
      </c>
      <c r="AY8" s="13">
        <f>F7</f>
        <v>46220</v>
      </c>
      <c r="AZ8">
        <f>C7</f>
        <v>10</v>
      </c>
      <c r="BA8">
        <v>0</v>
      </c>
    </row>
    <row r="9" spans="1:53" x14ac:dyDescent="0.35">
      <c r="A9" s="6">
        <v>4</v>
      </c>
      <c r="B9" s="6" t="s">
        <v>20</v>
      </c>
      <c r="C9" s="7">
        <v>12</v>
      </c>
      <c r="D9" s="7">
        <v>2</v>
      </c>
      <c r="E9" s="7" t="s">
        <v>19</v>
      </c>
      <c r="F9" s="8">
        <f t="shared" si="3"/>
        <v>46230</v>
      </c>
      <c r="G9" s="8">
        <f t="shared" si="0"/>
        <v>46242</v>
      </c>
      <c r="H9" s="9" t="s">
        <v>16</v>
      </c>
      <c r="I9" s="10">
        <v>46233</v>
      </c>
      <c r="J9" s="10"/>
      <c r="K9" s="11" t="str">
        <f t="shared" si="1"/>
        <v/>
      </c>
      <c r="L9" s="12" t="str">
        <f t="shared" si="2"/>
        <v/>
      </c>
      <c r="AX9" t="str">
        <f>"     "&amp;A7&amp;" · real"</f>
        <v xml:space="preserve">     2 · real</v>
      </c>
      <c r="AY9" s="13">
        <f>IF($I7="",$F7,$I7)</f>
        <v>46223</v>
      </c>
      <c r="AZ9">
        <v>0</v>
      </c>
      <c r="BA9">
        <f>IF($K7="",0,$K7)</f>
        <v>0</v>
      </c>
    </row>
    <row r="10" spans="1:53" x14ac:dyDescent="0.35">
      <c r="A10" s="6">
        <v>5</v>
      </c>
      <c r="B10" s="6" t="s">
        <v>21</v>
      </c>
      <c r="C10" s="7">
        <v>4</v>
      </c>
      <c r="D10" s="7">
        <v>4</v>
      </c>
      <c r="E10" s="7" t="s">
        <v>19</v>
      </c>
      <c r="F10" s="8">
        <f t="shared" si="3"/>
        <v>46242</v>
      </c>
      <c r="G10" s="8">
        <f t="shared" si="0"/>
        <v>46246</v>
      </c>
      <c r="H10" s="9" t="s">
        <v>16</v>
      </c>
      <c r="I10" s="10">
        <v>46254</v>
      </c>
      <c r="J10" s="10"/>
      <c r="K10" s="11" t="str">
        <f t="shared" si="1"/>
        <v/>
      </c>
      <c r="L10" s="12" t="str">
        <f t="shared" si="2"/>
        <v/>
      </c>
      <c r="AX10" t="str">
        <f>A8&amp;". "&amp;B8</f>
        <v>3. DEADLINE aprobación Cloé (confirmación muestra final)</v>
      </c>
      <c r="AY10" s="13">
        <f>F8</f>
        <v>46230</v>
      </c>
      <c r="AZ10">
        <f>C8</f>
        <v>5</v>
      </c>
      <c r="BA10">
        <v>0</v>
      </c>
    </row>
    <row r="11" spans="1:53" x14ac:dyDescent="0.35">
      <c r="A11" s="6">
        <v>6</v>
      </c>
      <c r="B11" s="6" t="s">
        <v>22</v>
      </c>
      <c r="C11" s="7">
        <v>7</v>
      </c>
      <c r="D11" s="7">
        <v>5</v>
      </c>
      <c r="E11" s="7" t="s">
        <v>19</v>
      </c>
      <c r="F11" s="8">
        <f t="shared" si="3"/>
        <v>46246</v>
      </c>
      <c r="G11" s="8">
        <f t="shared" si="0"/>
        <v>46253</v>
      </c>
      <c r="H11" s="9" t="s">
        <v>16</v>
      </c>
      <c r="I11" s="10">
        <v>46261</v>
      </c>
      <c r="J11" s="10"/>
      <c r="K11" s="11" t="str">
        <f t="shared" si="1"/>
        <v/>
      </c>
      <c r="L11" s="12" t="str">
        <f t="shared" si="2"/>
        <v/>
      </c>
      <c r="AX11" t="str">
        <f>"     "&amp;A8&amp;" · real"</f>
        <v xml:space="preserve">     3 · real</v>
      </c>
      <c r="AY11" s="13">
        <f>IF($I8="",$F8,$I8)</f>
        <v>46249</v>
      </c>
      <c r="AZ11">
        <v>0</v>
      </c>
      <c r="BA11">
        <f>IF($K8="",0,$K8)</f>
        <v>0</v>
      </c>
    </row>
    <row r="12" spans="1:53" x14ac:dyDescent="0.35">
      <c r="A12" s="6">
        <v>7</v>
      </c>
      <c r="B12" s="6" t="s">
        <v>23</v>
      </c>
      <c r="C12" s="7">
        <v>60</v>
      </c>
      <c r="D12" s="7">
        <v>6</v>
      </c>
      <c r="E12" s="7" t="s">
        <v>19</v>
      </c>
      <c r="F12" s="8">
        <f t="shared" si="3"/>
        <v>46253</v>
      </c>
      <c r="G12" s="8">
        <f t="shared" si="0"/>
        <v>46313</v>
      </c>
      <c r="H12" s="9" t="s">
        <v>16</v>
      </c>
      <c r="I12" s="10">
        <v>46266</v>
      </c>
      <c r="J12" s="10"/>
      <c r="K12" s="11" t="str">
        <f t="shared" si="1"/>
        <v/>
      </c>
      <c r="L12" s="12" t="str">
        <f t="shared" si="2"/>
        <v/>
      </c>
      <c r="AX12" t="str">
        <f>A9&amp;". "&amp;B9</f>
        <v>4. Reunión con Comité y entrega de muestras</v>
      </c>
      <c r="AY12" s="13">
        <f>F9</f>
        <v>46230</v>
      </c>
      <c r="AZ12">
        <f>C9</f>
        <v>12</v>
      </c>
      <c r="BA12">
        <v>0</v>
      </c>
    </row>
    <row r="13" spans="1:53" x14ac:dyDescent="0.35">
      <c r="A13" s="6">
        <v>8</v>
      </c>
      <c r="B13" s="6" t="s">
        <v>24</v>
      </c>
      <c r="C13" s="7">
        <v>30</v>
      </c>
      <c r="D13" s="7">
        <v>6</v>
      </c>
      <c r="E13" s="7" t="s">
        <v>19</v>
      </c>
      <c r="F13" s="8">
        <f t="shared" si="3"/>
        <v>46253</v>
      </c>
      <c r="G13" s="8">
        <f t="shared" si="0"/>
        <v>46283</v>
      </c>
      <c r="H13" s="9" t="s">
        <v>16</v>
      </c>
      <c r="I13" s="10">
        <v>46266</v>
      </c>
      <c r="J13" s="10"/>
      <c r="K13" s="11" t="str">
        <f t="shared" si="1"/>
        <v/>
      </c>
      <c r="L13" s="12" t="str">
        <f t="shared" si="2"/>
        <v/>
      </c>
      <c r="AX13" t="str">
        <f>"     "&amp;A9&amp;" · real"</f>
        <v xml:space="preserve">     4 · real</v>
      </c>
      <c r="AY13" s="13">
        <f>IF($I9="",$F9,$I9)</f>
        <v>46233</v>
      </c>
      <c r="AZ13">
        <v>0</v>
      </c>
      <c r="BA13">
        <f>IF($K9="",0,$K9)</f>
        <v>0</v>
      </c>
    </row>
    <row r="14" spans="1:53" x14ac:dyDescent="0.35">
      <c r="A14" s="6">
        <v>9</v>
      </c>
      <c r="B14" s="6" t="s">
        <v>25</v>
      </c>
      <c r="C14" s="7">
        <v>45</v>
      </c>
      <c r="D14" s="7">
        <v>7</v>
      </c>
      <c r="E14" s="7" t="s">
        <v>26</v>
      </c>
      <c r="F14" s="8">
        <f t="shared" si="3"/>
        <v>46253</v>
      </c>
      <c r="G14" s="8">
        <f t="shared" si="0"/>
        <v>46298</v>
      </c>
      <c r="H14" s="9" t="s">
        <v>16</v>
      </c>
      <c r="I14" s="10">
        <v>46296</v>
      </c>
      <c r="J14" s="10"/>
      <c r="K14" s="11" t="str">
        <f t="shared" si="1"/>
        <v/>
      </c>
      <c r="L14" s="12" t="str">
        <f t="shared" si="2"/>
        <v/>
      </c>
      <c r="AX14" t="str">
        <f>A10&amp;". "&amp;B10</f>
        <v>5. Confirmación de muestras y packaging</v>
      </c>
      <c r="AY14" s="13">
        <f>F10</f>
        <v>46242</v>
      </c>
      <c r="AZ14">
        <f>C10</f>
        <v>4</v>
      </c>
      <c r="BA14">
        <v>0</v>
      </c>
    </row>
    <row r="15" spans="1:53" x14ac:dyDescent="0.35">
      <c r="A15" s="6">
        <v>10</v>
      </c>
      <c r="B15" s="6" t="s">
        <v>27</v>
      </c>
      <c r="C15" s="7">
        <v>60</v>
      </c>
      <c r="D15" s="7">
        <v>7</v>
      </c>
      <c r="E15" s="7" t="s">
        <v>26</v>
      </c>
      <c r="F15" s="8">
        <f t="shared" si="3"/>
        <v>46253</v>
      </c>
      <c r="G15" s="8">
        <f t="shared" si="0"/>
        <v>46313</v>
      </c>
      <c r="H15" s="9" t="s">
        <v>16</v>
      </c>
      <c r="I15" s="10">
        <v>46266</v>
      </c>
      <c r="J15" s="10"/>
      <c r="K15" s="11" t="str">
        <f t="shared" si="1"/>
        <v/>
      </c>
      <c r="L15" s="12" t="str">
        <f t="shared" si="2"/>
        <v/>
      </c>
      <c r="AX15" t="str">
        <f>"     "&amp;A10&amp;" · real"</f>
        <v xml:space="preserve">     5 · real</v>
      </c>
      <c r="AY15" s="13">
        <f>IF($I10="",$F10,$I10)</f>
        <v>46254</v>
      </c>
      <c r="AZ15">
        <v>0</v>
      </c>
      <c r="BA15">
        <f>IF($K10="",0,$K10)</f>
        <v>0</v>
      </c>
    </row>
    <row r="16" spans="1:53" x14ac:dyDescent="0.35">
      <c r="A16" s="6">
        <v>11</v>
      </c>
      <c r="B16" s="6" t="s">
        <v>28</v>
      </c>
      <c r="C16" s="7">
        <v>7</v>
      </c>
      <c r="D16" s="7"/>
      <c r="E16" s="7"/>
      <c r="F16" s="8">
        <f>MAX($G$12,$G$13)</f>
        <v>46313</v>
      </c>
      <c r="G16" s="8">
        <f t="shared" si="0"/>
        <v>46320</v>
      </c>
      <c r="H16" s="9" t="s">
        <v>16</v>
      </c>
      <c r="I16" s="10">
        <v>46327</v>
      </c>
      <c r="J16" s="10"/>
      <c r="K16" s="11" t="str">
        <f t="shared" si="1"/>
        <v/>
      </c>
      <c r="L16" s="12" t="str">
        <f t="shared" si="2"/>
        <v/>
      </c>
      <c r="AX16" t="str">
        <f>A11&amp;". "&amp;B11</f>
        <v>6. Master Cloé (modelo &amp; upc)</v>
      </c>
      <c r="AY16" s="13">
        <f>F11</f>
        <v>46246</v>
      </c>
      <c r="AZ16">
        <f>C11</f>
        <v>7</v>
      </c>
      <c r="BA16">
        <v>0</v>
      </c>
    </row>
    <row r="17" spans="1:53" x14ac:dyDescent="0.35">
      <c r="A17" s="6">
        <v>12</v>
      </c>
      <c r="B17" s="6" t="s">
        <v>29</v>
      </c>
      <c r="C17" s="7">
        <v>15</v>
      </c>
      <c r="D17" s="7">
        <v>11</v>
      </c>
      <c r="E17" s="7" t="s">
        <v>19</v>
      </c>
      <c r="F17" s="8">
        <f>IF($D17="",$C$4,IF($E17="II",INDEX($F$6:$F$20,MATCH($D17,$A$6:$A$20,0)),INDEX($G$6:$G$20,MATCH($D17,$A$6:$A$20,0))))</f>
        <v>46320</v>
      </c>
      <c r="G17" s="8">
        <f t="shared" si="0"/>
        <v>46335</v>
      </c>
      <c r="H17" s="9" t="s">
        <v>16</v>
      </c>
      <c r="I17" s="10">
        <v>46333</v>
      </c>
      <c r="J17" s="10"/>
      <c r="K17" s="11" t="str">
        <f t="shared" si="1"/>
        <v/>
      </c>
      <c r="L17" s="12" t="str">
        <f t="shared" si="2"/>
        <v/>
      </c>
      <c r="AX17" t="str">
        <f>"     "&amp;A11&amp;" · real"</f>
        <v xml:space="preserve">     6 · real</v>
      </c>
      <c r="AY17" s="13">
        <f>IF($I11="",$F11,$I11)</f>
        <v>46261</v>
      </c>
      <c r="AZ17">
        <v>0</v>
      </c>
      <c r="BA17">
        <f>IF($K11="",0,$K11)</f>
        <v>0</v>
      </c>
    </row>
    <row r="18" spans="1:53" x14ac:dyDescent="0.35">
      <c r="A18" s="6">
        <v>13</v>
      </c>
      <c r="B18" s="6" t="s">
        <v>30</v>
      </c>
      <c r="C18" s="7">
        <v>35</v>
      </c>
      <c r="D18" s="7">
        <v>12</v>
      </c>
      <c r="E18" s="7" t="s">
        <v>19</v>
      </c>
      <c r="F18" s="8">
        <f>IF($D18="",$C$4,IF($E18="II",INDEX($F$6:$F$20,MATCH($D18,$A$6:$A$20,0)),INDEX($G$6:$G$20,MATCH($D18,$A$6:$A$20,0))))</f>
        <v>46335</v>
      </c>
      <c r="G18" s="8">
        <f t="shared" si="0"/>
        <v>46370</v>
      </c>
      <c r="H18" s="9" t="s">
        <v>16</v>
      </c>
      <c r="I18" s="10">
        <v>46348</v>
      </c>
      <c r="J18" s="10"/>
      <c r="K18" s="11" t="str">
        <f t="shared" si="1"/>
        <v/>
      </c>
      <c r="L18" s="12" t="str">
        <f t="shared" si="2"/>
        <v/>
      </c>
      <c r="AX18" t="str">
        <f>A12&amp;". "&amp;B12</f>
        <v>7. Producción de producto</v>
      </c>
      <c r="AY18" s="13">
        <f>F12</f>
        <v>46253</v>
      </c>
      <c r="AZ18">
        <f>C12</f>
        <v>60</v>
      </c>
      <c r="BA18">
        <v>0</v>
      </c>
    </row>
    <row r="19" spans="1:53" x14ac:dyDescent="0.35">
      <c r="A19" s="6">
        <v>14</v>
      </c>
      <c r="B19" s="6" t="s">
        <v>31</v>
      </c>
      <c r="C19" s="7">
        <v>10</v>
      </c>
      <c r="D19" s="7">
        <v>13</v>
      </c>
      <c r="E19" s="7" t="s">
        <v>19</v>
      </c>
      <c r="F19" s="8">
        <f>IF($D19="",$C$4,IF($E19="II",INDEX($F$6:$F$20,MATCH($D19,$A$6:$A$20,0)),INDEX($G$6:$G$20,MATCH($D19,$A$6:$A$20,0))))</f>
        <v>46370</v>
      </c>
      <c r="G19" s="8">
        <f t="shared" si="0"/>
        <v>46380</v>
      </c>
      <c r="H19" s="9" t="s">
        <v>16</v>
      </c>
      <c r="I19" s="10">
        <v>46383</v>
      </c>
      <c r="J19" s="10"/>
      <c r="K19" s="11" t="str">
        <f t="shared" si="1"/>
        <v/>
      </c>
      <c r="L19" s="12" t="str">
        <f t="shared" si="2"/>
        <v/>
      </c>
      <c r="AX19" t="str">
        <f>"     "&amp;A12&amp;" · real"</f>
        <v xml:space="preserve">     7 · real</v>
      </c>
      <c r="AY19" s="13">
        <f>IF($I12="",$F12,$I12)</f>
        <v>46266</v>
      </c>
      <c r="AZ19">
        <v>0</v>
      </c>
      <c r="BA19">
        <f>IF($K12="",0,$K12)</f>
        <v>0</v>
      </c>
    </row>
    <row r="20" spans="1:53" x14ac:dyDescent="0.35">
      <c r="A20" s="6">
        <v>15</v>
      </c>
      <c r="B20" s="6" t="s">
        <v>32</v>
      </c>
      <c r="C20" s="7">
        <v>1</v>
      </c>
      <c r="D20" s="7">
        <v>14</v>
      </c>
      <c r="E20" s="7" t="s">
        <v>19</v>
      </c>
      <c r="F20" s="8">
        <f>IF($D20="",$C$4,IF($E20="II",INDEX($F$6:$F$20,MATCH($D20,$A$6:$A$20,0)),INDEX($G$6:$G$20,MATCH($D20,$A$6:$A$20,0))))</f>
        <v>46380</v>
      </c>
      <c r="G20" s="8">
        <f t="shared" si="0"/>
        <v>46381</v>
      </c>
      <c r="H20" s="9" t="s">
        <v>16</v>
      </c>
      <c r="I20" s="10">
        <v>46454</v>
      </c>
      <c r="J20" s="10"/>
      <c r="K20" s="11" t="str">
        <f t="shared" si="1"/>
        <v/>
      </c>
      <c r="L20" s="12" t="str">
        <f t="shared" si="2"/>
        <v/>
      </c>
      <c r="AX20" t="str">
        <f>A13&amp;". "&amp;B13</f>
        <v>8. Producción de packaging</v>
      </c>
      <c r="AY20" s="13">
        <f>F13</f>
        <v>46253</v>
      </c>
      <c r="AZ20">
        <f>C13</f>
        <v>30</v>
      </c>
      <c r="BA20">
        <v>0</v>
      </c>
    </row>
    <row r="21" spans="1:53" x14ac:dyDescent="0.35">
      <c r="AX21" t="str">
        <f>"     "&amp;A13&amp;" · real"</f>
        <v xml:space="preserve">     8 · real</v>
      </c>
      <c r="AY21" s="13">
        <f>IF($I13="",$F13,$I13)</f>
        <v>46266</v>
      </c>
      <c r="AZ21">
        <v>0</v>
      </c>
      <c r="BA21">
        <f>IF($K13="",0,$K13)</f>
        <v>0</v>
      </c>
    </row>
    <row r="22" spans="1:53" x14ac:dyDescent="0.35">
      <c r="AX22" t="str">
        <f>A14&amp;". "&amp;B14</f>
        <v>9. Muestras de producción a México (fotografía)</v>
      </c>
      <c r="AY22" s="13">
        <f>F14</f>
        <v>46253</v>
      </c>
      <c r="AZ22">
        <f>C14</f>
        <v>45</v>
      </c>
      <c r="BA22">
        <v>0</v>
      </c>
    </row>
    <row r="23" spans="1:53" x14ac:dyDescent="0.35">
      <c r="AX23" t="str">
        <f>"     "&amp;A14&amp;" · real"</f>
        <v xml:space="preserve">     9 · real</v>
      </c>
      <c r="AY23" s="13">
        <f>IF($I14="",$F14,$I14)</f>
        <v>46296</v>
      </c>
      <c r="AZ23">
        <v>0</v>
      </c>
      <c r="BA23">
        <f>IF($K14="",0,$K14)</f>
        <v>0</v>
      </c>
    </row>
    <row r="24" spans="1:53" x14ac:dyDescent="0.35">
      <c r="AX24" t="str">
        <f>A15&amp;". "&amp;B15</f>
        <v>10. Gestión proveedores Cloé</v>
      </c>
      <c r="AY24" s="13">
        <f>F15</f>
        <v>46253</v>
      </c>
      <c r="AZ24">
        <f>C15</f>
        <v>60</v>
      </c>
      <c r="BA24">
        <v>0</v>
      </c>
    </row>
    <row r="25" spans="1:53" x14ac:dyDescent="0.35">
      <c r="AX25" t="str">
        <f>"     "&amp;A15&amp;" · real"</f>
        <v xml:space="preserve">     10 · real</v>
      </c>
      <c r="AY25" s="13">
        <f>IF($I15="",$F15,$I15)</f>
        <v>46266</v>
      </c>
      <c r="AZ25">
        <v>0</v>
      </c>
      <c r="BA25">
        <f>IF($K15="",0,$K15)</f>
        <v>0</v>
      </c>
    </row>
    <row r="26" spans="1:53" x14ac:dyDescent="0.35">
      <c r="AX26" t="str">
        <f>A16&amp;". "&amp;B16</f>
        <v>11. Inspección</v>
      </c>
      <c r="AY26" s="13">
        <f>F16</f>
        <v>46313</v>
      </c>
      <c r="AZ26">
        <f>C16</f>
        <v>7</v>
      </c>
      <c r="BA26">
        <v>0</v>
      </c>
    </row>
    <row r="27" spans="1:53" x14ac:dyDescent="0.35">
      <c r="AX27" t="str">
        <f>"     "&amp;A16&amp;" · real"</f>
        <v xml:space="preserve">     11 · real</v>
      </c>
      <c r="AY27" s="13">
        <f>IF($I16="",$F16,$I16)</f>
        <v>46327</v>
      </c>
      <c r="AZ27">
        <v>0</v>
      </c>
      <c r="BA27">
        <f>IF($K16="",0,$K16)</f>
        <v>0</v>
      </c>
    </row>
    <row r="28" spans="1:53" x14ac:dyDescent="0.35">
      <c r="AX28" t="str">
        <f>A17&amp;". "&amp;B17</f>
        <v>12. Orden terminada + CUT OFF + tiempos puerto</v>
      </c>
      <c r="AY28" s="13">
        <f>F17</f>
        <v>46320</v>
      </c>
      <c r="AZ28">
        <f>C17</f>
        <v>15</v>
      </c>
      <c r="BA28">
        <v>0</v>
      </c>
    </row>
    <row r="29" spans="1:53" x14ac:dyDescent="0.35">
      <c r="AX29" t="str">
        <f>"     "&amp;A17&amp;" · real"</f>
        <v xml:space="preserve">     12 · real</v>
      </c>
      <c r="AY29" s="13">
        <f>IF($I17="",$F17,$I17)</f>
        <v>46333</v>
      </c>
      <c r="AZ29">
        <v>0</v>
      </c>
      <c r="BA29">
        <f>IF($K17="",0,$K17)</f>
        <v>0</v>
      </c>
    </row>
    <row r="30" spans="1:53" x14ac:dyDescent="0.35">
      <c r="AX30" t="str">
        <f>A18&amp;". "&amp;B18</f>
        <v>13. Tránsito marítimo</v>
      </c>
      <c r="AY30" s="13">
        <f>F18</f>
        <v>46335</v>
      </c>
      <c r="AZ30">
        <f>C18</f>
        <v>35</v>
      </c>
      <c r="BA30">
        <v>0</v>
      </c>
    </row>
    <row r="31" spans="1:53" x14ac:dyDescent="0.35">
      <c r="AX31" t="str">
        <f>"     "&amp;A18&amp;" · real"</f>
        <v xml:space="preserve">     13 · real</v>
      </c>
      <c r="AY31" s="13">
        <f>IF($I18="",$F18,$I18)</f>
        <v>46348</v>
      </c>
      <c r="AZ31">
        <v>0</v>
      </c>
      <c r="BA31">
        <f>IF($K18="",0,$K18)</f>
        <v>0</v>
      </c>
    </row>
    <row r="32" spans="1:53" x14ac:dyDescent="0.35">
      <c r="AX32" t="str">
        <f>A19&amp;". "&amp;B19</f>
        <v>14. Aduana México</v>
      </c>
      <c r="AY32" s="13">
        <f>F19</f>
        <v>46370</v>
      </c>
      <c r="AZ32">
        <f>C19</f>
        <v>10</v>
      </c>
      <c r="BA32">
        <v>0</v>
      </c>
    </row>
    <row r="33" spans="50:53" x14ac:dyDescent="0.35">
      <c r="AX33" t="str">
        <f>"     "&amp;A19&amp;" · real"</f>
        <v xml:space="preserve">     14 · real</v>
      </c>
      <c r="AY33" s="13">
        <f>IF($I19="",$F19,$I19)</f>
        <v>46383</v>
      </c>
      <c r="AZ33">
        <v>0</v>
      </c>
      <c r="BA33">
        <f>IF($K19="",0,$K19)</f>
        <v>0</v>
      </c>
    </row>
    <row r="34" spans="50:53" x14ac:dyDescent="0.35">
      <c r="AX34" t="str">
        <f>A20&amp;". "&amp;B20</f>
        <v>15. Lanzamiento</v>
      </c>
      <c r="AY34" s="13">
        <f>F20</f>
        <v>46380</v>
      </c>
      <c r="AZ34">
        <f>C20</f>
        <v>1</v>
      </c>
      <c r="BA34">
        <v>0</v>
      </c>
    </row>
    <row r="35" spans="50:53" x14ac:dyDescent="0.35">
      <c r="AX35" t="str">
        <f>"     "&amp;A20&amp;" · real"</f>
        <v xml:space="preserve">     15 · real</v>
      </c>
      <c r="AY35" s="13">
        <f>IF($I20="",$F20,$I20)</f>
        <v>46454</v>
      </c>
      <c r="AZ35">
        <v>0</v>
      </c>
      <c r="BA35">
        <f>IF($K20="",0,$K20)</f>
        <v>0</v>
      </c>
    </row>
  </sheetData>
  <mergeCells count="1">
    <mergeCell ref="A3:L3"/>
  </mergeCells>
  <conditionalFormatting sqref="B6:L20">
    <cfRule type="expression" dxfId="26" priority="1">
      <formula>AND($H6&lt;&gt;"Completada",$G6&lt;&gt;"",$G6&lt;TODAY())</formula>
    </cfRule>
  </conditionalFormatting>
  <conditionalFormatting sqref="H6:H20">
    <cfRule type="expression" dxfId="25" priority="2">
      <formula>$H6="Completada"</formula>
    </cfRule>
    <cfRule type="expression" dxfId="24" priority="3">
      <formula>$H6="En curso"</formula>
    </cfRule>
    <cfRule type="expression" dxfId="23" priority="4">
      <formula>$H6="Pendiente"</formula>
    </cfRule>
  </conditionalFormatting>
  <conditionalFormatting sqref="L6:L20">
    <cfRule type="cellIs" dxfId="22" priority="9" operator="greaterThan">
      <formula>0</formula>
    </cfRule>
    <cfRule type="cellIs" dxfId="21" priority="10" operator="lessThan">
      <formula>0</formula>
    </cfRule>
  </conditionalFormatting>
  <dataValidations count="1">
    <dataValidation type="list" allowBlank="1" sqref="H6:H20" xr:uid="{277A1399-8FC1-4EBF-8863-D91E65189487}">
      <formula1>"Pendiente,En curso,Completada"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D98D-56D2-4A96-A047-4CE89790583C}">
  <dimension ref="A1:BA35"/>
  <sheetViews>
    <sheetView showGridLines="0" zoomScale="110" zoomScaleNormal="110" workbookViewId="0">
      <selection activeCell="I6" sqref="I6"/>
    </sheetView>
  </sheetViews>
  <sheetFormatPr defaultColWidth="8.54296875" defaultRowHeight="14.5" x14ac:dyDescent="0.35"/>
  <cols>
    <col min="1" max="1" width="4.453125" customWidth="1"/>
    <col min="2" max="2" width="41.54296875" customWidth="1"/>
    <col min="3" max="3" width="10.7265625" customWidth="1"/>
    <col min="4" max="4" width="13" customWidth="1"/>
    <col min="5" max="5" width="0" hidden="1" customWidth="1"/>
    <col min="6" max="6" width="12" hidden="1" customWidth="1"/>
    <col min="7" max="7" width="13" hidden="1" customWidth="1"/>
    <col min="8" max="12" width="13" customWidth="1"/>
    <col min="13" max="13" width="2" customWidth="1"/>
    <col min="14" max="14" width="3.453125" customWidth="1"/>
    <col min="45" max="45" width="10.81640625" customWidth="1"/>
  </cols>
  <sheetData>
    <row r="1" spans="1:53" ht="18" customHeight="1" x14ac:dyDescent="0.45">
      <c r="A1" s="1" t="s">
        <v>34</v>
      </c>
    </row>
    <row r="3" spans="1:53" x14ac:dyDescent="0.35">
      <c r="A3" s="14" t="s">
        <v>36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53" x14ac:dyDescent="0.35">
      <c r="B4" s="2" t="s">
        <v>39</v>
      </c>
      <c r="C4" s="3">
        <v>46190</v>
      </c>
      <c r="I4" s="2" t="s">
        <v>0</v>
      </c>
      <c r="J4" s="3">
        <f ca="1">TODAY()</f>
        <v>46204</v>
      </c>
    </row>
    <row r="5" spans="1:53" x14ac:dyDescent="0.35">
      <c r="A5" s="4" t="s">
        <v>1</v>
      </c>
      <c r="B5" s="5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AX5" t="s">
        <v>2</v>
      </c>
      <c r="AY5" t="s">
        <v>6</v>
      </c>
      <c r="AZ5" t="s">
        <v>13</v>
      </c>
      <c r="BA5" t="s">
        <v>14</v>
      </c>
    </row>
    <row r="6" spans="1:53" x14ac:dyDescent="0.35">
      <c r="A6" s="6">
        <v>1</v>
      </c>
      <c r="B6" s="6" t="s">
        <v>15</v>
      </c>
      <c r="C6" s="7">
        <v>30</v>
      </c>
      <c r="D6" s="7"/>
      <c r="E6" s="7"/>
      <c r="F6" s="8">
        <f>$C$4</f>
        <v>46190</v>
      </c>
      <c r="G6" s="8">
        <f t="shared" ref="G6:G20" si="0">F6+C6</f>
        <v>46220</v>
      </c>
      <c r="H6" s="9" t="s">
        <v>33</v>
      </c>
      <c r="I6" s="10">
        <v>46196</v>
      </c>
      <c r="J6" s="10"/>
      <c r="K6" s="11" t="str">
        <f t="shared" ref="K6:K20" si="1">IF(OR($I6="",$J6=""),"",$J6-$I6)</f>
        <v/>
      </c>
      <c r="L6" s="12" t="str">
        <f t="shared" ref="L6:L20" si="2">IF($J6="","",$J6-$G6)</f>
        <v/>
      </c>
      <c r="AX6" t="str">
        <f>A6&amp;". "&amp;B6</f>
        <v>1. Muestras finalizadas en China</v>
      </c>
      <c r="AY6" s="13">
        <f>F6</f>
        <v>46190</v>
      </c>
      <c r="AZ6">
        <f>C6</f>
        <v>30</v>
      </c>
      <c r="BA6">
        <v>0</v>
      </c>
    </row>
    <row r="7" spans="1:53" x14ac:dyDescent="0.35">
      <c r="A7" s="6">
        <v>2</v>
      </c>
      <c r="B7" s="6" t="s">
        <v>17</v>
      </c>
      <c r="C7" s="7">
        <v>10</v>
      </c>
      <c r="D7" s="7">
        <v>1</v>
      </c>
      <c r="E7" s="7"/>
      <c r="F7" s="8">
        <f t="shared" ref="F7:F15" si="3">IF($D7="",$C$4,IF($E7="II",INDEX($F$6:$F$20,MATCH($D7,$A$6:$A$20,0)),INDEX($G$6:$G$20,MATCH($D7,$A$6:$A$20,0))))</f>
        <v>46220</v>
      </c>
      <c r="G7" s="8">
        <f t="shared" si="0"/>
        <v>46230</v>
      </c>
      <c r="H7" s="9" t="s">
        <v>16</v>
      </c>
      <c r="I7" s="10">
        <v>46223</v>
      </c>
      <c r="J7" s="10"/>
      <c r="K7" s="11" t="str">
        <f t="shared" si="1"/>
        <v/>
      </c>
      <c r="L7" s="12" t="str">
        <f t="shared" si="2"/>
        <v/>
      </c>
      <c r="AX7" t="str">
        <f>"     "&amp;A6&amp;" · real"</f>
        <v xml:space="preserve">     1 · real</v>
      </c>
      <c r="AY7" s="13">
        <f>IF($I6="",$F6,$I6)</f>
        <v>46196</v>
      </c>
      <c r="AZ7">
        <v>0</v>
      </c>
      <c r="BA7">
        <f>IF($K6="",0,$K6)</f>
        <v>0</v>
      </c>
    </row>
    <row r="8" spans="1:53" x14ac:dyDescent="0.35">
      <c r="A8" s="6">
        <v>3</v>
      </c>
      <c r="B8" s="6" t="s">
        <v>18</v>
      </c>
      <c r="C8" s="7">
        <v>5</v>
      </c>
      <c r="D8" s="7">
        <v>2</v>
      </c>
      <c r="E8" s="7" t="s">
        <v>19</v>
      </c>
      <c r="F8" s="8">
        <f t="shared" si="3"/>
        <v>46230</v>
      </c>
      <c r="G8" s="8">
        <f t="shared" si="0"/>
        <v>46235</v>
      </c>
      <c r="H8" s="9" t="s">
        <v>16</v>
      </c>
      <c r="I8" s="10">
        <v>46249</v>
      </c>
      <c r="J8" s="10"/>
      <c r="K8" s="11" t="str">
        <f t="shared" si="1"/>
        <v/>
      </c>
      <c r="L8" s="12" t="str">
        <f t="shared" si="2"/>
        <v/>
      </c>
      <c r="AX8" t="str">
        <f>A7&amp;". "&amp;B7</f>
        <v>2. Courier a Mexico</v>
      </c>
      <c r="AY8" s="13">
        <f>F7</f>
        <v>46220</v>
      </c>
      <c r="AZ8">
        <f>C7</f>
        <v>10</v>
      </c>
      <c r="BA8">
        <v>0</v>
      </c>
    </row>
    <row r="9" spans="1:53" x14ac:dyDescent="0.35">
      <c r="A9" s="6">
        <v>4</v>
      </c>
      <c r="B9" s="6" t="s">
        <v>20</v>
      </c>
      <c r="C9" s="7">
        <v>12</v>
      </c>
      <c r="D9" s="7">
        <v>2</v>
      </c>
      <c r="E9" s="7" t="s">
        <v>19</v>
      </c>
      <c r="F9" s="8">
        <f t="shared" si="3"/>
        <v>46230</v>
      </c>
      <c r="G9" s="8">
        <f t="shared" si="0"/>
        <v>46242</v>
      </c>
      <c r="H9" s="9" t="s">
        <v>16</v>
      </c>
      <c r="I9" s="10">
        <v>46233</v>
      </c>
      <c r="J9" s="10"/>
      <c r="K9" s="11" t="str">
        <f t="shared" si="1"/>
        <v/>
      </c>
      <c r="L9" s="12" t="str">
        <f t="shared" si="2"/>
        <v/>
      </c>
      <c r="AX9" t="str">
        <f>"     "&amp;A7&amp;" · real"</f>
        <v xml:space="preserve">     2 · real</v>
      </c>
      <c r="AY9" s="13">
        <f>IF($I7="",$F7,$I7)</f>
        <v>46223</v>
      </c>
      <c r="AZ9">
        <v>0</v>
      </c>
      <c r="BA9">
        <f>IF($K7="",0,$K7)</f>
        <v>0</v>
      </c>
    </row>
    <row r="10" spans="1:53" x14ac:dyDescent="0.35">
      <c r="A10" s="6">
        <v>5</v>
      </c>
      <c r="B10" s="6" t="s">
        <v>21</v>
      </c>
      <c r="C10" s="7">
        <v>4</v>
      </c>
      <c r="D10" s="7">
        <v>4</v>
      </c>
      <c r="E10" s="7" t="s">
        <v>19</v>
      </c>
      <c r="F10" s="8">
        <f t="shared" si="3"/>
        <v>46242</v>
      </c>
      <c r="G10" s="8">
        <f t="shared" si="0"/>
        <v>46246</v>
      </c>
      <c r="H10" s="9" t="s">
        <v>16</v>
      </c>
      <c r="I10" s="10">
        <v>46254</v>
      </c>
      <c r="J10" s="10"/>
      <c r="K10" s="11" t="str">
        <f t="shared" si="1"/>
        <v/>
      </c>
      <c r="L10" s="12" t="str">
        <f t="shared" si="2"/>
        <v/>
      </c>
      <c r="AX10" t="str">
        <f>A8&amp;". "&amp;B8</f>
        <v>3. DEADLINE aprobación Cloé (confirmación muestra final)</v>
      </c>
      <c r="AY10" s="13">
        <f>F8</f>
        <v>46230</v>
      </c>
      <c r="AZ10">
        <f>C8</f>
        <v>5</v>
      </c>
      <c r="BA10">
        <v>0</v>
      </c>
    </row>
    <row r="11" spans="1:53" x14ac:dyDescent="0.35">
      <c r="A11" s="6">
        <v>6</v>
      </c>
      <c r="B11" s="6" t="s">
        <v>22</v>
      </c>
      <c r="C11" s="7">
        <v>7</v>
      </c>
      <c r="D11" s="7">
        <v>5</v>
      </c>
      <c r="E11" s="7" t="s">
        <v>19</v>
      </c>
      <c r="F11" s="8">
        <f t="shared" si="3"/>
        <v>46246</v>
      </c>
      <c r="G11" s="8">
        <f t="shared" si="0"/>
        <v>46253</v>
      </c>
      <c r="H11" s="9" t="s">
        <v>16</v>
      </c>
      <c r="I11" s="10">
        <v>46261</v>
      </c>
      <c r="J11" s="10"/>
      <c r="K11" s="11" t="str">
        <f t="shared" si="1"/>
        <v/>
      </c>
      <c r="L11" s="12" t="str">
        <f t="shared" si="2"/>
        <v/>
      </c>
      <c r="AX11" t="str">
        <f>"     "&amp;A8&amp;" · real"</f>
        <v xml:space="preserve">     3 · real</v>
      </c>
      <c r="AY11" s="13">
        <f>IF($I8="",$F8,$I8)</f>
        <v>46249</v>
      </c>
      <c r="AZ11">
        <v>0</v>
      </c>
      <c r="BA11">
        <f>IF($K8="",0,$K8)</f>
        <v>0</v>
      </c>
    </row>
    <row r="12" spans="1:53" x14ac:dyDescent="0.35">
      <c r="A12" s="6">
        <v>7</v>
      </c>
      <c r="B12" s="6" t="s">
        <v>23</v>
      </c>
      <c r="C12" s="7">
        <v>60</v>
      </c>
      <c r="D12" s="7">
        <v>6</v>
      </c>
      <c r="E12" s="7" t="s">
        <v>19</v>
      </c>
      <c r="F12" s="8">
        <f t="shared" si="3"/>
        <v>46253</v>
      </c>
      <c r="G12" s="8">
        <f t="shared" si="0"/>
        <v>46313</v>
      </c>
      <c r="H12" s="9" t="s">
        <v>16</v>
      </c>
      <c r="I12" s="10">
        <v>46266</v>
      </c>
      <c r="J12" s="10"/>
      <c r="K12" s="11" t="str">
        <f t="shared" si="1"/>
        <v/>
      </c>
      <c r="L12" s="12" t="str">
        <f t="shared" si="2"/>
        <v/>
      </c>
      <c r="AX12" t="str">
        <f>A9&amp;". "&amp;B9</f>
        <v>4. Reunión con Comité y entrega de muestras</v>
      </c>
      <c r="AY12" s="13">
        <f>F9</f>
        <v>46230</v>
      </c>
      <c r="AZ12">
        <f>C9</f>
        <v>12</v>
      </c>
      <c r="BA12">
        <v>0</v>
      </c>
    </row>
    <row r="13" spans="1:53" x14ac:dyDescent="0.35">
      <c r="A13" s="6">
        <v>8</v>
      </c>
      <c r="B13" s="6" t="s">
        <v>24</v>
      </c>
      <c r="C13" s="7">
        <v>30</v>
      </c>
      <c r="D13" s="7">
        <v>6</v>
      </c>
      <c r="E13" s="7" t="s">
        <v>19</v>
      </c>
      <c r="F13" s="8">
        <f t="shared" si="3"/>
        <v>46253</v>
      </c>
      <c r="G13" s="8">
        <f t="shared" si="0"/>
        <v>46283</v>
      </c>
      <c r="H13" s="9" t="s">
        <v>16</v>
      </c>
      <c r="I13" s="10">
        <v>46266</v>
      </c>
      <c r="J13" s="10"/>
      <c r="K13" s="11" t="str">
        <f t="shared" si="1"/>
        <v/>
      </c>
      <c r="L13" s="12" t="str">
        <f t="shared" si="2"/>
        <v/>
      </c>
      <c r="AX13" t="str">
        <f>"     "&amp;A9&amp;" · real"</f>
        <v xml:space="preserve">     4 · real</v>
      </c>
      <c r="AY13" s="13">
        <f>IF($I9="",$F9,$I9)</f>
        <v>46233</v>
      </c>
      <c r="AZ13">
        <v>0</v>
      </c>
      <c r="BA13">
        <f>IF($K9="",0,$K9)</f>
        <v>0</v>
      </c>
    </row>
    <row r="14" spans="1:53" x14ac:dyDescent="0.35">
      <c r="A14" s="6">
        <v>9</v>
      </c>
      <c r="B14" s="6" t="s">
        <v>25</v>
      </c>
      <c r="C14" s="7">
        <v>45</v>
      </c>
      <c r="D14" s="7">
        <v>7</v>
      </c>
      <c r="E14" s="7" t="s">
        <v>26</v>
      </c>
      <c r="F14" s="8">
        <f t="shared" si="3"/>
        <v>46253</v>
      </c>
      <c r="G14" s="8">
        <f t="shared" si="0"/>
        <v>46298</v>
      </c>
      <c r="H14" s="9" t="s">
        <v>16</v>
      </c>
      <c r="I14" s="10">
        <v>46296</v>
      </c>
      <c r="J14" s="10"/>
      <c r="K14" s="11" t="str">
        <f t="shared" si="1"/>
        <v/>
      </c>
      <c r="L14" s="12" t="str">
        <f t="shared" si="2"/>
        <v/>
      </c>
      <c r="AX14" t="str">
        <f>A10&amp;". "&amp;B10</f>
        <v>5. Confirmación de muestras y packaging</v>
      </c>
      <c r="AY14" s="13">
        <f>F10</f>
        <v>46242</v>
      </c>
      <c r="AZ14">
        <f>C10</f>
        <v>4</v>
      </c>
      <c r="BA14">
        <v>0</v>
      </c>
    </row>
    <row r="15" spans="1:53" x14ac:dyDescent="0.35">
      <c r="A15" s="6">
        <v>10</v>
      </c>
      <c r="B15" s="6" t="s">
        <v>27</v>
      </c>
      <c r="C15" s="7">
        <v>60</v>
      </c>
      <c r="D15" s="7">
        <v>7</v>
      </c>
      <c r="E15" s="7" t="s">
        <v>26</v>
      </c>
      <c r="F15" s="8">
        <f t="shared" si="3"/>
        <v>46253</v>
      </c>
      <c r="G15" s="8">
        <f t="shared" si="0"/>
        <v>46313</v>
      </c>
      <c r="H15" s="9" t="s">
        <v>16</v>
      </c>
      <c r="I15" s="10">
        <v>46266</v>
      </c>
      <c r="J15" s="10"/>
      <c r="K15" s="11" t="str">
        <f t="shared" si="1"/>
        <v/>
      </c>
      <c r="L15" s="12" t="str">
        <f t="shared" si="2"/>
        <v/>
      </c>
      <c r="AX15" t="str">
        <f>"     "&amp;A10&amp;" · real"</f>
        <v xml:space="preserve">     5 · real</v>
      </c>
      <c r="AY15" s="13">
        <f>IF($I10="",$F10,$I10)</f>
        <v>46254</v>
      </c>
      <c r="AZ15">
        <v>0</v>
      </c>
      <c r="BA15">
        <f>IF($K10="",0,$K10)</f>
        <v>0</v>
      </c>
    </row>
    <row r="16" spans="1:53" x14ac:dyDescent="0.35">
      <c r="A16" s="6">
        <v>11</v>
      </c>
      <c r="B16" s="6" t="s">
        <v>28</v>
      </c>
      <c r="C16" s="7">
        <v>7</v>
      </c>
      <c r="D16" s="7"/>
      <c r="E16" s="7"/>
      <c r="F16" s="8">
        <f>MAX($G$12,$G$13)</f>
        <v>46313</v>
      </c>
      <c r="G16" s="8">
        <f t="shared" si="0"/>
        <v>46320</v>
      </c>
      <c r="H16" s="9" t="s">
        <v>16</v>
      </c>
      <c r="I16" s="10">
        <v>46327</v>
      </c>
      <c r="J16" s="10"/>
      <c r="K16" s="11" t="str">
        <f t="shared" si="1"/>
        <v/>
      </c>
      <c r="L16" s="12" t="str">
        <f t="shared" si="2"/>
        <v/>
      </c>
      <c r="AX16" t="str">
        <f>A11&amp;". "&amp;B11</f>
        <v>6. Master Cloé (modelo &amp; upc)</v>
      </c>
      <c r="AY16" s="13">
        <f>F11</f>
        <v>46246</v>
      </c>
      <c r="AZ16">
        <f>C11</f>
        <v>7</v>
      </c>
      <c r="BA16">
        <v>0</v>
      </c>
    </row>
    <row r="17" spans="1:53" x14ac:dyDescent="0.35">
      <c r="A17" s="6">
        <v>12</v>
      </c>
      <c r="B17" s="6" t="s">
        <v>29</v>
      </c>
      <c r="C17" s="7">
        <v>15</v>
      </c>
      <c r="D17" s="7">
        <v>11</v>
      </c>
      <c r="E17" s="7" t="s">
        <v>19</v>
      </c>
      <c r="F17" s="8">
        <f>IF($D17="",$C$4,IF($E17="II",INDEX($F$6:$F$20,MATCH($D17,$A$6:$A$20,0)),INDEX($G$6:$G$20,MATCH($D17,$A$6:$A$20,0))))</f>
        <v>46320</v>
      </c>
      <c r="G17" s="8">
        <f t="shared" si="0"/>
        <v>46335</v>
      </c>
      <c r="H17" s="9" t="s">
        <v>16</v>
      </c>
      <c r="I17" s="10">
        <v>46333</v>
      </c>
      <c r="J17" s="10"/>
      <c r="K17" s="11" t="str">
        <f t="shared" si="1"/>
        <v/>
      </c>
      <c r="L17" s="12" t="str">
        <f t="shared" si="2"/>
        <v/>
      </c>
      <c r="AX17" t="str">
        <f>"     "&amp;A11&amp;" · real"</f>
        <v xml:space="preserve">     6 · real</v>
      </c>
      <c r="AY17" s="13">
        <f>IF($I11="",$F11,$I11)</f>
        <v>46261</v>
      </c>
      <c r="AZ17">
        <v>0</v>
      </c>
      <c r="BA17">
        <f>IF($K11="",0,$K11)</f>
        <v>0</v>
      </c>
    </row>
    <row r="18" spans="1:53" x14ac:dyDescent="0.35">
      <c r="A18" s="6">
        <v>13</v>
      </c>
      <c r="B18" s="6" t="s">
        <v>30</v>
      </c>
      <c r="C18" s="7">
        <v>35</v>
      </c>
      <c r="D18" s="7">
        <v>12</v>
      </c>
      <c r="E18" s="7" t="s">
        <v>19</v>
      </c>
      <c r="F18" s="8">
        <f>IF($D18="",$C$4,IF($E18="II",INDEX($F$6:$F$20,MATCH($D18,$A$6:$A$20,0)),INDEX($G$6:$G$20,MATCH($D18,$A$6:$A$20,0))))</f>
        <v>46335</v>
      </c>
      <c r="G18" s="8">
        <f t="shared" si="0"/>
        <v>46370</v>
      </c>
      <c r="H18" s="9" t="s">
        <v>16</v>
      </c>
      <c r="I18" s="10">
        <v>46348</v>
      </c>
      <c r="J18" s="10"/>
      <c r="K18" s="11" t="str">
        <f t="shared" si="1"/>
        <v/>
      </c>
      <c r="L18" s="12" t="str">
        <f t="shared" si="2"/>
        <v/>
      </c>
      <c r="AX18" t="str">
        <f>A12&amp;". "&amp;B12</f>
        <v>7. Producción de producto</v>
      </c>
      <c r="AY18" s="13">
        <f>F12</f>
        <v>46253</v>
      </c>
      <c r="AZ18">
        <f>C12</f>
        <v>60</v>
      </c>
      <c r="BA18">
        <v>0</v>
      </c>
    </row>
    <row r="19" spans="1:53" x14ac:dyDescent="0.35">
      <c r="A19" s="6">
        <v>14</v>
      </c>
      <c r="B19" s="6" t="s">
        <v>31</v>
      </c>
      <c r="C19" s="7">
        <v>10</v>
      </c>
      <c r="D19" s="7">
        <v>13</v>
      </c>
      <c r="E19" s="7" t="s">
        <v>19</v>
      </c>
      <c r="F19" s="8">
        <f>IF($D19="",$C$4,IF($E19="II",INDEX($F$6:$F$20,MATCH($D19,$A$6:$A$20,0)),INDEX($G$6:$G$20,MATCH($D19,$A$6:$A$20,0))))</f>
        <v>46370</v>
      </c>
      <c r="G19" s="8">
        <f t="shared" si="0"/>
        <v>46380</v>
      </c>
      <c r="H19" s="9" t="s">
        <v>16</v>
      </c>
      <c r="I19" s="10">
        <v>46383</v>
      </c>
      <c r="J19" s="10"/>
      <c r="K19" s="11" t="str">
        <f t="shared" si="1"/>
        <v/>
      </c>
      <c r="L19" s="12" t="str">
        <f t="shared" si="2"/>
        <v/>
      </c>
      <c r="AX19" t="str">
        <f>"     "&amp;A12&amp;" · real"</f>
        <v xml:space="preserve">     7 · real</v>
      </c>
      <c r="AY19" s="13">
        <f>IF($I12="",$F12,$I12)</f>
        <v>46266</v>
      </c>
      <c r="AZ19">
        <v>0</v>
      </c>
      <c r="BA19">
        <f>IF($K12="",0,$K12)</f>
        <v>0</v>
      </c>
    </row>
    <row r="20" spans="1:53" x14ac:dyDescent="0.35">
      <c r="A20" s="6">
        <v>15</v>
      </c>
      <c r="B20" s="6" t="s">
        <v>32</v>
      </c>
      <c r="C20" s="7">
        <v>1</v>
      </c>
      <c r="D20" s="7">
        <v>14</v>
      </c>
      <c r="E20" s="7" t="s">
        <v>19</v>
      </c>
      <c r="F20" s="8">
        <f>IF($D20="",$C$4,IF($E20="II",INDEX($F$6:$F$20,MATCH($D20,$A$6:$A$20,0)),INDEX($G$6:$G$20,MATCH($D20,$A$6:$A$20,0))))</f>
        <v>46380</v>
      </c>
      <c r="G20" s="8">
        <f t="shared" si="0"/>
        <v>46381</v>
      </c>
      <c r="H20" s="9" t="s">
        <v>16</v>
      </c>
      <c r="I20" s="10">
        <v>46454</v>
      </c>
      <c r="J20" s="10"/>
      <c r="K20" s="11" t="str">
        <f t="shared" si="1"/>
        <v/>
      </c>
      <c r="L20" s="12" t="str">
        <f t="shared" si="2"/>
        <v/>
      </c>
      <c r="AX20" t="str">
        <f>A13&amp;". "&amp;B13</f>
        <v>8. Producción de packaging</v>
      </c>
      <c r="AY20" s="13">
        <f>F13</f>
        <v>46253</v>
      </c>
      <c r="AZ20">
        <f>C13</f>
        <v>30</v>
      </c>
      <c r="BA20">
        <v>0</v>
      </c>
    </row>
    <row r="21" spans="1:53" x14ac:dyDescent="0.35">
      <c r="AX21" t="str">
        <f>"     "&amp;A13&amp;" · real"</f>
        <v xml:space="preserve">     8 · real</v>
      </c>
      <c r="AY21" s="13">
        <f>IF($I13="",$F13,$I13)</f>
        <v>46266</v>
      </c>
      <c r="AZ21">
        <v>0</v>
      </c>
      <c r="BA21">
        <f>IF($K13="",0,$K13)</f>
        <v>0</v>
      </c>
    </row>
    <row r="22" spans="1:53" x14ac:dyDescent="0.35">
      <c r="AX22" t="str">
        <f>A14&amp;". "&amp;B14</f>
        <v>9. Muestras de producción a México (fotografía)</v>
      </c>
      <c r="AY22" s="13">
        <f>F14</f>
        <v>46253</v>
      </c>
      <c r="AZ22">
        <f>C14</f>
        <v>45</v>
      </c>
      <c r="BA22">
        <v>0</v>
      </c>
    </row>
    <row r="23" spans="1:53" x14ac:dyDescent="0.35">
      <c r="AX23" t="str">
        <f>"     "&amp;A14&amp;" · real"</f>
        <v xml:space="preserve">     9 · real</v>
      </c>
      <c r="AY23" s="13">
        <f>IF($I14="",$F14,$I14)</f>
        <v>46296</v>
      </c>
      <c r="AZ23">
        <v>0</v>
      </c>
      <c r="BA23">
        <f>IF($K14="",0,$K14)</f>
        <v>0</v>
      </c>
    </row>
    <row r="24" spans="1:53" x14ac:dyDescent="0.35">
      <c r="AX24" t="str">
        <f>A15&amp;". "&amp;B15</f>
        <v>10. Gestión proveedores Cloé</v>
      </c>
      <c r="AY24" s="13">
        <f>F15</f>
        <v>46253</v>
      </c>
      <c r="AZ24">
        <f>C15</f>
        <v>60</v>
      </c>
      <c r="BA24">
        <v>0</v>
      </c>
    </row>
    <row r="25" spans="1:53" x14ac:dyDescent="0.35">
      <c r="AX25" t="str">
        <f>"     "&amp;A15&amp;" · real"</f>
        <v xml:space="preserve">     10 · real</v>
      </c>
      <c r="AY25" s="13">
        <f>IF($I15="",$F15,$I15)</f>
        <v>46266</v>
      </c>
      <c r="AZ25">
        <v>0</v>
      </c>
      <c r="BA25">
        <f>IF($K15="",0,$K15)</f>
        <v>0</v>
      </c>
    </row>
    <row r="26" spans="1:53" x14ac:dyDescent="0.35">
      <c r="AX26" t="str">
        <f>A16&amp;". "&amp;B16</f>
        <v>11. Inspección</v>
      </c>
      <c r="AY26" s="13">
        <f>F16</f>
        <v>46313</v>
      </c>
      <c r="AZ26">
        <f>C16</f>
        <v>7</v>
      </c>
      <c r="BA26">
        <v>0</v>
      </c>
    </row>
    <row r="27" spans="1:53" x14ac:dyDescent="0.35">
      <c r="AX27" t="str">
        <f>"     "&amp;A16&amp;" · real"</f>
        <v xml:space="preserve">     11 · real</v>
      </c>
      <c r="AY27" s="13">
        <f>IF($I16="",$F16,$I16)</f>
        <v>46327</v>
      </c>
      <c r="AZ27">
        <v>0</v>
      </c>
      <c r="BA27">
        <f>IF($K16="",0,$K16)</f>
        <v>0</v>
      </c>
    </row>
    <row r="28" spans="1:53" x14ac:dyDescent="0.35">
      <c r="AX28" t="str">
        <f>A17&amp;". "&amp;B17</f>
        <v>12. Orden terminada + CUT OFF + tiempos puerto</v>
      </c>
      <c r="AY28" s="13">
        <f>F17</f>
        <v>46320</v>
      </c>
      <c r="AZ28">
        <f>C17</f>
        <v>15</v>
      </c>
      <c r="BA28">
        <v>0</v>
      </c>
    </row>
    <row r="29" spans="1:53" x14ac:dyDescent="0.35">
      <c r="AX29" t="str">
        <f>"     "&amp;A17&amp;" · real"</f>
        <v xml:space="preserve">     12 · real</v>
      </c>
      <c r="AY29" s="13">
        <f>IF($I17="",$F17,$I17)</f>
        <v>46333</v>
      </c>
      <c r="AZ29">
        <v>0</v>
      </c>
      <c r="BA29">
        <f>IF($K17="",0,$K17)</f>
        <v>0</v>
      </c>
    </row>
    <row r="30" spans="1:53" x14ac:dyDescent="0.35">
      <c r="AX30" t="str">
        <f>A18&amp;". "&amp;B18</f>
        <v>13. Tránsito marítimo</v>
      </c>
      <c r="AY30" s="13">
        <f>F18</f>
        <v>46335</v>
      </c>
      <c r="AZ30">
        <f>C18</f>
        <v>35</v>
      </c>
      <c r="BA30">
        <v>0</v>
      </c>
    </row>
    <row r="31" spans="1:53" x14ac:dyDescent="0.35">
      <c r="AX31" t="str">
        <f>"     "&amp;A18&amp;" · real"</f>
        <v xml:space="preserve">     13 · real</v>
      </c>
      <c r="AY31" s="13">
        <f>IF($I18="",$F18,$I18)</f>
        <v>46348</v>
      </c>
      <c r="AZ31">
        <v>0</v>
      </c>
      <c r="BA31">
        <f>IF($K18="",0,$K18)</f>
        <v>0</v>
      </c>
    </row>
    <row r="32" spans="1:53" x14ac:dyDescent="0.35">
      <c r="AX32" t="str">
        <f>A19&amp;". "&amp;B19</f>
        <v>14. Aduana México</v>
      </c>
      <c r="AY32" s="13">
        <f>F19</f>
        <v>46370</v>
      </c>
      <c r="AZ32">
        <f>C19</f>
        <v>10</v>
      </c>
      <c r="BA32">
        <v>0</v>
      </c>
    </row>
    <row r="33" spans="50:53" x14ac:dyDescent="0.35">
      <c r="AX33" t="str">
        <f>"     "&amp;A19&amp;" · real"</f>
        <v xml:space="preserve">     14 · real</v>
      </c>
      <c r="AY33" s="13">
        <f>IF($I19="",$F19,$I19)</f>
        <v>46383</v>
      </c>
      <c r="AZ33">
        <v>0</v>
      </c>
      <c r="BA33">
        <f>IF($K19="",0,$K19)</f>
        <v>0</v>
      </c>
    </row>
    <row r="34" spans="50:53" x14ac:dyDescent="0.35">
      <c r="AX34" t="str">
        <f>A20&amp;". "&amp;B20</f>
        <v>15. Lanzamiento</v>
      </c>
      <c r="AY34" s="13">
        <f>F20</f>
        <v>46380</v>
      </c>
      <c r="AZ34">
        <f>C20</f>
        <v>1</v>
      </c>
      <c r="BA34">
        <v>0</v>
      </c>
    </row>
    <row r="35" spans="50:53" x14ac:dyDescent="0.35">
      <c r="AX35" t="str">
        <f>"     "&amp;A20&amp;" · real"</f>
        <v xml:space="preserve">     15 · real</v>
      </c>
      <c r="AY35" s="13">
        <f>IF($I20="",$F20,$I20)</f>
        <v>46454</v>
      </c>
      <c r="AZ35">
        <v>0</v>
      </c>
      <c r="BA35">
        <f>IF($K20="",0,$K20)</f>
        <v>0</v>
      </c>
    </row>
  </sheetData>
  <mergeCells count="1">
    <mergeCell ref="A3:L3"/>
  </mergeCells>
  <conditionalFormatting sqref="B7:L20 B6:H6 J6:L6">
    <cfRule type="expression" dxfId="20" priority="2">
      <formula>AND($H6&lt;&gt;"Completada",$G6&lt;&gt;"",$G6&lt;TODAY())</formula>
    </cfRule>
  </conditionalFormatting>
  <conditionalFormatting sqref="H6:H20">
    <cfRule type="expression" dxfId="19" priority="3">
      <formula>$H6="Completada"</formula>
    </cfRule>
    <cfRule type="expression" dxfId="18" priority="4">
      <formula>$H6="En curso"</formula>
    </cfRule>
    <cfRule type="expression" dxfId="17" priority="5">
      <formula>$H6="Pendiente"</formula>
    </cfRule>
  </conditionalFormatting>
  <conditionalFormatting sqref="L6:L20">
    <cfRule type="cellIs" dxfId="16" priority="11" operator="greaterThan">
      <formula>0</formula>
    </cfRule>
    <cfRule type="cellIs" dxfId="15" priority="12" operator="lessThan">
      <formula>0</formula>
    </cfRule>
  </conditionalFormatting>
  <conditionalFormatting sqref="I6">
    <cfRule type="expression" dxfId="2" priority="1">
      <formula>AND($H6&lt;&gt;"Completada",$G6&lt;&gt;"",$G6&lt;TODAY())</formula>
    </cfRule>
  </conditionalFormatting>
  <dataValidations count="1">
    <dataValidation type="list" allowBlank="1" sqref="H6:H20" xr:uid="{A5744F28-365F-4B15-997F-D3874F656E1B}">
      <formula1>"Pendiente,En curso,Completada"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47F3-4C1E-4C1F-9275-2BAAFB920FAB}">
  <dimension ref="A1:BA35"/>
  <sheetViews>
    <sheetView showGridLines="0" zoomScale="110" zoomScaleNormal="110" workbookViewId="0">
      <selection activeCell="I6" sqref="I6"/>
    </sheetView>
  </sheetViews>
  <sheetFormatPr defaultColWidth="8.54296875" defaultRowHeight="14.5" x14ac:dyDescent="0.35"/>
  <cols>
    <col min="1" max="1" width="4.453125" customWidth="1"/>
    <col min="2" max="2" width="41.54296875" customWidth="1"/>
    <col min="3" max="3" width="10.7265625" customWidth="1"/>
    <col min="4" max="4" width="13" customWidth="1"/>
    <col min="5" max="5" width="0" hidden="1" customWidth="1"/>
    <col min="6" max="6" width="12" hidden="1" customWidth="1"/>
    <col min="7" max="7" width="13" hidden="1" customWidth="1"/>
    <col min="8" max="10" width="13" customWidth="1"/>
    <col min="11" max="11" width="14.1796875" bestFit="1" customWidth="1"/>
    <col min="12" max="12" width="13" customWidth="1"/>
    <col min="13" max="13" width="2" customWidth="1"/>
    <col min="14" max="14" width="3.453125" customWidth="1"/>
    <col min="45" max="45" width="10.81640625" customWidth="1"/>
  </cols>
  <sheetData>
    <row r="1" spans="1:53" ht="18" customHeight="1" x14ac:dyDescent="0.45">
      <c r="A1" s="1" t="s">
        <v>34</v>
      </c>
    </row>
    <row r="3" spans="1:53" x14ac:dyDescent="0.35">
      <c r="A3" s="14" t="s">
        <v>37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53" x14ac:dyDescent="0.35">
      <c r="B4" s="2" t="s">
        <v>39</v>
      </c>
      <c r="C4" s="3">
        <v>46190</v>
      </c>
      <c r="I4" s="2" t="s">
        <v>0</v>
      </c>
      <c r="J4" s="3">
        <f ca="1">TODAY()</f>
        <v>46204</v>
      </c>
    </row>
    <row r="5" spans="1:53" x14ac:dyDescent="0.35">
      <c r="A5" s="4" t="s">
        <v>1</v>
      </c>
      <c r="B5" s="5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AX5" t="s">
        <v>2</v>
      </c>
      <c r="AY5" t="s">
        <v>6</v>
      </c>
      <c r="AZ5" t="s">
        <v>13</v>
      </c>
      <c r="BA5" t="s">
        <v>14</v>
      </c>
    </row>
    <row r="6" spans="1:53" x14ac:dyDescent="0.35">
      <c r="A6" s="6">
        <v>1</v>
      </c>
      <c r="B6" s="6" t="s">
        <v>15</v>
      </c>
      <c r="C6" s="7">
        <v>30</v>
      </c>
      <c r="D6" s="7"/>
      <c r="E6" s="7"/>
      <c r="F6" s="8">
        <f>$C$4</f>
        <v>46190</v>
      </c>
      <c r="G6" s="8">
        <f t="shared" ref="G6:G20" si="0">F6+C6</f>
        <v>46220</v>
      </c>
      <c r="H6" s="9" t="s">
        <v>33</v>
      </c>
      <c r="I6" s="10">
        <v>46196</v>
      </c>
      <c r="J6" s="10"/>
      <c r="K6" s="11" t="str">
        <f t="shared" ref="K6:K20" si="1">IF(OR($I6="",$J6=""),"",$J6-$I6)</f>
        <v/>
      </c>
      <c r="L6" s="12" t="str">
        <f t="shared" ref="L6:L20" si="2">IF($J6="","",$J6-$G6)</f>
        <v/>
      </c>
      <c r="AX6" t="str">
        <f>A6&amp;". "&amp;B6</f>
        <v>1. Muestras finalizadas en China</v>
      </c>
      <c r="AY6" s="13">
        <f>F6</f>
        <v>46190</v>
      </c>
      <c r="AZ6">
        <f>C6</f>
        <v>30</v>
      </c>
      <c r="BA6">
        <v>0</v>
      </c>
    </row>
    <row r="7" spans="1:53" x14ac:dyDescent="0.35">
      <c r="A7" s="6">
        <v>2</v>
      </c>
      <c r="B7" s="6" t="s">
        <v>17</v>
      </c>
      <c r="C7" s="7">
        <v>10</v>
      </c>
      <c r="D7" s="7">
        <v>1</v>
      </c>
      <c r="E7" s="7"/>
      <c r="F7" s="8">
        <f t="shared" ref="F7:F15" si="3">IF($D7="",$C$4,IF($E7="II",INDEX($F$6:$F$20,MATCH($D7,$A$6:$A$20,0)),INDEX($G$6:$G$20,MATCH($D7,$A$6:$A$20,0))))</f>
        <v>46220</v>
      </c>
      <c r="G7" s="8">
        <f t="shared" si="0"/>
        <v>46230</v>
      </c>
      <c r="H7" s="9" t="s">
        <v>16</v>
      </c>
      <c r="I7" s="10">
        <v>46223</v>
      </c>
      <c r="J7" s="10"/>
      <c r="K7" s="11" t="str">
        <f t="shared" si="1"/>
        <v/>
      </c>
      <c r="L7" s="12" t="str">
        <f t="shared" si="2"/>
        <v/>
      </c>
      <c r="AX7" t="str">
        <f>"     "&amp;A6&amp;" · real"</f>
        <v xml:space="preserve">     1 · real</v>
      </c>
      <c r="AY7" s="13">
        <f>IF($I6="",$F6,$I6)</f>
        <v>46196</v>
      </c>
      <c r="AZ7">
        <v>0</v>
      </c>
      <c r="BA7">
        <f>IF($K6="",0,$K6)</f>
        <v>0</v>
      </c>
    </row>
    <row r="8" spans="1:53" x14ac:dyDescent="0.35">
      <c r="A8" s="6">
        <v>3</v>
      </c>
      <c r="B8" s="6" t="s">
        <v>18</v>
      </c>
      <c r="C8" s="7">
        <v>5</v>
      </c>
      <c r="D8" s="7">
        <v>2</v>
      </c>
      <c r="E8" s="7" t="s">
        <v>19</v>
      </c>
      <c r="F8" s="8">
        <f t="shared" si="3"/>
        <v>46230</v>
      </c>
      <c r="G8" s="8">
        <f t="shared" si="0"/>
        <v>46235</v>
      </c>
      <c r="H8" s="9" t="s">
        <v>16</v>
      </c>
      <c r="I8" s="10">
        <v>46249</v>
      </c>
      <c r="J8" s="10"/>
      <c r="K8" s="11" t="str">
        <f t="shared" si="1"/>
        <v/>
      </c>
      <c r="L8" s="12" t="str">
        <f t="shared" si="2"/>
        <v/>
      </c>
      <c r="AX8" t="str">
        <f>A7&amp;". "&amp;B7</f>
        <v>2. Courier a Mexico</v>
      </c>
      <c r="AY8" s="13">
        <f>F7</f>
        <v>46220</v>
      </c>
      <c r="AZ8">
        <f>C7</f>
        <v>10</v>
      </c>
      <c r="BA8">
        <v>0</v>
      </c>
    </row>
    <row r="9" spans="1:53" x14ac:dyDescent="0.35">
      <c r="A9" s="6">
        <v>4</v>
      </c>
      <c r="B9" s="6" t="s">
        <v>20</v>
      </c>
      <c r="C9" s="7">
        <v>12</v>
      </c>
      <c r="D9" s="7">
        <v>2</v>
      </c>
      <c r="E9" s="7" t="s">
        <v>19</v>
      </c>
      <c r="F9" s="8">
        <f t="shared" si="3"/>
        <v>46230</v>
      </c>
      <c r="G9" s="8">
        <f t="shared" si="0"/>
        <v>46242</v>
      </c>
      <c r="H9" s="9" t="s">
        <v>16</v>
      </c>
      <c r="I9" s="10">
        <v>46233</v>
      </c>
      <c r="J9" s="10"/>
      <c r="K9" s="11" t="str">
        <f t="shared" si="1"/>
        <v/>
      </c>
      <c r="L9" s="12" t="str">
        <f t="shared" si="2"/>
        <v/>
      </c>
      <c r="AX9" t="str">
        <f>"     "&amp;A7&amp;" · real"</f>
        <v xml:space="preserve">     2 · real</v>
      </c>
      <c r="AY9" s="13">
        <f>IF($I7="",$F7,$I7)</f>
        <v>46223</v>
      </c>
      <c r="AZ9">
        <v>0</v>
      </c>
      <c r="BA9">
        <f>IF($K7="",0,$K7)</f>
        <v>0</v>
      </c>
    </row>
    <row r="10" spans="1:53" x14ac:dyDescent="0.35">
      <c r="A10" s="6">
        <v>5</v>
      </c>
      <c r="B10" s="6" t="s">
        <v>21</v>
      </c>
      <c r="C10" s="7">
        <v>4</v>
      </c>
      <c r="D10" s="7">
        <v>4</v>
      </c>
      <c r="E10" s="7" t="s">
        <v>19</v>
      </c>
      <c r="F10" s="8">
        <f t="shared" si="3"/>
        <v>46242</v>
      </c>
      <c r="G10" s="8">
        <f t="shared" si="0"/>
        <v>46246</v>
      </c>
      <c r="H10" s="9" t="s">
        <v>16</v>
      </c>
      <c r="I10" s="10">
        <v>46254</v>
      </c>
      <c r="J10" s="10"/>
      <c r="K10" s="11" t="str">
        <f t="shared" si="1"/>
        <v/>
      </c>
      <c r="L10" s="12" t="str">
        <f t="shared" si="2"/>
        <v/>
      </c>
      <c r="AX10" t="str">
        <f>A8&amp;". "&amp;B8</f>
        <v>3. DEADLINE aprobación Cloé (confirmación muestra final)</v>
      </c>
      <c r="AY10" s="13">
        <f>F8</f>
        <v>46230</v>
      </c>
      <c r="AZ10">
        <f>C8</f>
        <v>5</v>
      </c>
      <c r="BA10">
        <v>0</v>
      </c>
    </row>
    <row r="11" spans="1:53" x14ac:dyDescent="0.35">
      <c r="A11" s="6">
        <v>6</v>
      </c>
      <c r="B11" s="6" t="s">
        <v>22</v>
      </c>
      <c r="C11" s="7">
        <v>7</v>
      </c>
      <c r="D11" s="7">
        <v>5</v>
      </c>
      <c r="E11" s="7" t="s">
        <v>19</v>
      </c>
      <c r="F11" s="8">
        <f t="shared" si="3"/>
        <v>46246</v>
      </c>
      <c r="G11" s="8">
        <f t="shared" si="0"/>
        <v>46253</v>
      </c>
      <c r="H11" s="9" t="s">
        <v>16</v>
      </c>
      <c r="I11" s="10">
        <v>46261</v>
      </c>
      <c r="J11" s="10"/>
      <c r="K11" s="11" t="str">
        <f t="shared" si="1"/>
        <v/>
      </c>
      <c r="L11" s="12" t="str">
        <f t="shared" si="2"/>
        <v/>
      </c>
      <c r="AX11" t="str">
        <f>"     "&amp;A8&amp;" · real"</f>
        <v xml:space="preserve">     3 · real</v>
      </c>
      <c r="AY11" s="13">
        <f>IF($I8="",$F8,$I8)</f>
        <v>46249</v>
      </c>
      <c r="AZ11">
        <v>0</v>
      </c>
      <c r="BA11">
        <f>IF($K8="",0,$K8)</f>
        <v>0</v>
      </c>
    </row>
    <row r="12" spans="1:53" x14ac:dyDescent="0.35">
      <c r="A12" s="6">
        <v>7</v>
      </c>
      <c r="B12" s="6" t="s">
        <v>23</v>
      </c>
      <c r="C12" s="7">
        <v>60</v>
      </c>
      <c r="D12" s="7">
        <v>6</v>
      </c>
      <c r="E12" s="7" t="s">
        <v>19</v>
      </c>
      <c r="F12" s="8">
        <f t="shared" si="3"/>
        <v>46253</v>
      </c>
      <c r="G12" s="8">
        <f t="shared" si="0"/>
        <v>46313</v>
      </c>
      <c r="H12" s="9" t="s">
        <v>16</v>
      </c>
      <c r="I12" s="10">
        <v>46266</v>
      </c>
      <c r="J12" s="10"/>
      <c r="K12" s="11" t="str">
        <f t="shared" si="1"/>
        <v/>
      </c>
      <c r="L12" s="12" t="str">
        <f t="shared" si="2"/>
        <v/>
      </c>
      <c r="AX12" t="str">
        <f>A9&amp;". "&amp;B9</f>
        <v>4. Reunión con Comité y entrega de muestras</v>
      </c>
      <c r="AY12" s="13">
        <f>F9</f>
        <v>46230</v>
      </c>
      <c r="AZ12">
        <f>C9</f>
        <v>12</v>
      </c>
      <c r="BA12">
        <v>0</v>
      </c>
    </row>
    <row r="13" spans="1:53" x14ac:dyDescent="0.35">
      <c r="A13" s="6">
        <v>8</v>
      </c>
      <c r="B13" s="6" t="s">
        <v>24</v>
      </c>
      <c r="C13" s="7">
        <v>30</v>
      </c>
      <c r="D13" s="7">
        <v>6</v>
      </c>
      <c r="E13" s="7" t="s">
        <v>19</v>
      </c>
      <c r="F13" s="8">
        <f t="shared" si="3"/>
        <v>46253</v>
      </c>
      <c r="G13" s="8">
        <f t="shared" si="0"/>
        <v>46283</v>
      </c>
      <c r="H13" s="9" t="s">
        <v>16</v>
      </c>
      <c r="I13" s="10">
        <v>46266</v>
      </c>
      <c r="J13" s="10"/>
      <c r="K13" s="11" t="str">
        <f t="shared" si="1"/>
        <v/>
      </c>
      <c r="L13" s="12" t="str">
        <f t="shared" si="2"/>
        <v/>
      </c>
      <c r="AX13" t="str">
        <f>"     "&amp;A9&amp;" · real"</f>
        <v xml:space="preserve">     4 · real</v>
      </c>
      <c r="AY13" s="13">
        <f>IF($I9="",$F9,$I9)</f>
        <v>46233</v>
      </c>
      <c r="AZ13">
        <v>0</v>
      </c>
      <c r="BA13">
        <f>IF($K9="",0,$K9)</f>
        <v>0</v>
      </c>
    </row>
    <row r="14" spans="1:53" x14ac:dyDescent="0.35">
      <c r="A14" s="6">
        <v>9</v>
      </c>
      <c r="B14" s="6" t="s">
        <v>25</v>
      </c>
      <c r="C14" s="7">
        <v>45</v>
      </c>
      <c r="D14" s="7">
        <v>7</v>
      </c>
      <c r="E14" s="7" t="s">
        <v>26</v>
      </c>
      <c r="F14" s="8">
        <f t="shared" si="3"/>
        <v>46253</v>
      </c>
      <c r="G14" s="8">
        <f t="shared" si="0"/>
        <v>46298</v>
      </c>
      <c r="H14" s="9" t="s">
        <v>16</v>
      </c>
      <c r="I14" s="10">
        <v>46296</v>
      </c>
      <c r="J14" s="10"/>
      <c r="K14" s="11" t="str">
        <f t="shared" si="1"/>
        <v/>
      </c>
      <c r="L14" s="12" t="str">
        <f t="shared" si="2"/>
        <v/>
      </c>
      <c r="AX14" t="str">
        <f>A10&amp;". "&amp;B10</f>
        <v>5. Confirmación de muestras y packaging</v>
      </c>
      <c r="AY14" s="13">
        <f>F10</f>
        <v>46242</v>
      </c>
      <c r="AZ14">
        <f>C10</f>
        <v>4</v>
      </c>
      <c r="BA14">
        <v>0</v>
      </c>
    </row>
    <row r="15" spans="1:53" x14ac:dyDescent="0.35">
      <c r="A15" s="6">
        <v>10</v>
      </c>
      <c r="B15" s="6" t="s">
        <v>27</v>
      </c>
      <c r="C15" s="7">
        <v>60</v>
      </c>
      <c r="D15" s="7">
        <v>7</v>
      </c>
      <c r="E15" s="7" t="s">
        <v>26</v>
      </c>
      <c r="F15" s="8">
        <f t="shared" si="3"/>
        <v>46253</v>
      </c>
      <c r="G15" s="8">
        <f t="shared" si="0"/>
        <v>46313</v>
      </c>
      <c r="H15" s="9" t="s">
        <v>16</v>
      </c>
      <c r="I15" s="10">
        <v>46266</v>
      </c>
      <c r="J15" s="10"/>
      <c r="K15" s="11" t="str">
        <f t="shared" si="1"/>
        <v/>
      </c>
      <c r="L15" s="12" t="str">
        <f t="shared" si="2"/>
        <v/>
      </c>
      <c r="AX15" t="str">
        <f>"     "&amp;A10&amp;" · real"</f>
        <v xml:space="preserve">     5 · real</v>
      </c>
      <c r="AY15" s="13">
        <f>IF($I10="",$F10,$I10)</f>
        <v>46254</v>
      </c>
      <c r="AZ15">
        <v>0</v>
      </c>
      <c r="BA15">
        <f>IF($K10="",0,$K10)</f>
        <v>0</v>
      </c>
    </row>
    <row r="16" spans="1:53" x14ac:dyDescent="0.35">
      <c r="A16" s="6">
        <v>11</v>
      </c>
      <c r="B16" s="6" t="s">
        <v>28</v>
      </c>
      <c r="C16" s="7">
        <v>7</v>
      </c>
      <c r="D16" s="7"/>
      <c r="E16" s="7"/>
      <c r="F16" s="8">
        <f>MAX($G$12,$G$13)</f>
        <v>46313</v>
      </c>
      <c r="G16" s="8">
        <f t="shared" si="0"/>
        <v>46320</v>
      </c>
      <c r="H16" s="9" t="s">
        <v>16</v>
      </c>
      <c r="I16" s="10">
        <v>46327</v>
      </c>
      <c r="J16" s="10"/>
      <c r="K16" s="11" t="str">
        <f t="shared" si="1"/>
        <v/>
      </c>
      <c r="L16" s="12" t="str">
        <f t="shared" si="2"/>
        <v/>
      </c>
      <c r="AX16" t="str">
        <f>A11&amp;". "&amp;B11</f>
        <v>6. Master Cloé (modelo &amp; upc)</v>
      </c>
      <c r="AY16" s="13">
        <f>F11</f>
        <v>46246</v>
      </c>
      <c r="AZ16">
        <f>C11</f>
        <v>7</v>
      </c>
      <c r="BA16">
        <v>0</v>
      </c>
    </row>
    <row r="17" spans="1:53" x14ac:dyDescent="0.35">
      <c r="A17" s="6">
        <v>12</v>
      </c>
      <c r="B17" s="6" t="s">
        <v>29</v>
      </c>
      <c r="C17" s="7">
        <v>15</v>
      </c>
      <c r="D17" s="7">
        <v>11</v>
      </c>
      <c r="E17" s="7" t="s">
        <v>19</v>
      </c>
      <c r="F17" s="8">
        <f>IF($D17="",$C$4,IF($E17="II",INDEX($F$6:$F$20,MATCH($D17,$A$6:$A$20,0)),INDEX($G$6:$G$20,MATCH($D17,$A$6:$A$20,0))))</f>
        <v>46320</v>
      </c>
      <c r="G17" s="8">
        <f t="shared" si="0"/>
        <v>46335</v>
      </c>
      <c r="H17" s="9" t="s">
        <v>16</v>
      </c>
      <c r="I17" s="10">
        <v>46333</v>
      </c>
      <c r="J17" s="10"/>
      <c r="K17" s="11" t="str">
        <f t="shared" si="1"/>
        <v/>
      </c>
      <c r="L17" s="12" t="str">
        <f t="shared" si="2"/>
        <v/>
      </c>
      <c r="AX17" t="str">
        <f>"     "&amp;A11&amp;" · real"</f>
        <v xml:space="preserve">     6 · real</v>
      </c>
      <c r="AY17" s="13">
        <f>IF($I11="",$F11,$I11)</f>
        <v>46261</v>
      </c>
      <c r="AZ17">
        <v>0</v>
      </c>
      <c r="BA17">
        <f>IF($K11="",0,$K11)</f>
        <v>0</v>
      </c>
    </row>
    <row r="18" spans="1:53" x14ac:dyDescent="0.35">
      <c r="A18" s="6">
        <v>13</v>
      </c>
      <c r="B18" s="6" t="s">
        <v>30</v>
      </c>
      <c r="C18" s="7">
        <v>35</v>
      </c>
      <c r="D18" s="7">
        <v>12</v>
      </c>
      <c r="E18" s="7" t="s">
        <v>19</v>
      </c>
      <c r="F18" s="8">
        <f>IF($D18="",$C$4,IF($E18="II",INDEX($F$6:$F$20,MATCH($D18,$A$6:$A$20,0)),INDEX($G$6:$G$20,MATCH($D18,$A$6:$A$20,0))))</f>
        <v>46335</v>
      </c>
      <c r="G18" s="8">
        <f t="shared" si="0"/>
        <v>46370</v>
      </c>
      <c r="H18" s="9" t="s">
        <v>16</v>
      </c>
      <c r="I18" s="10">
        <v>46348</v>
      </c>
      <c r="J18" s="10"/>
      <c r="K18" s="11" t="str">
        <f t="shared" si="1"/>
        <v/>
      </c>
      <c r="L18" s="12" t="str">
        <f t="shared" si="2"/>
        <v/>
      </c>
      <c r="AX18" t="str">
        <f>A12&amp;". "&amp;B12</f>
        <v>7. Producción de producto</v>
      </c>
      <c r="AY18" s="13">
        <f>F12</f>
        <v>46253</v>
      </c>
      <c r="AZ18">
        <f>C12</f>
        <v>60</v>
      </c>
      <c r="BA18">
        <v>0</v>
      </c>
    </row>
    <row r="19" spans="1:53" x14ac:dyDescent="0.35">
      <c r="A19" s="6">
        <v>14</v>
      </c>
      <c r="B19" s="6" t="s">
        <v>31</v>
      </c>
      <c r="C19" s="7">
        <v>10</v>
      </c>
      <c r="D19" s="7">
        <v>13</v>
      </c>
      <c r="E19" s="7" t="s">
        <v>19</v>
      </c>
      <c r="F19" s="8">
        <f>IF($D19="",$C$4,IF($E19="II",INDEX($F$6:$F$20,MATCH($D19,$A$6:$A$20,0)),INDEX($G$6:$G$20,MATCH($D19,$A$6:$A$20,0))))</f>
        <v>46370</v>
      </c>
      <c r="G19" s="8">
        <f t="shared" si="0"/>
        <v>46380</v>
      </c>
      <c r="H19" s="9" t="s">
        <v>16</v>
      </c>
      <c r="I19" s="10">
        <v>46383</v>
      </c>
      <c r="J19" s="10"/>
      <c r="K19" s="11" t="str">
        <f t="shared" si="1"/>
        <v/>
      </c>
      <c r="L19" s="12" t="str">
        <f t="shared" si="2"/>
        <v/>
      </c>
      <c r="AX19" t="str">
        <f>"     "&amp;A12&amp;" · real"</f>
        <v xml:space="preserve">     7 · real</v>
      </c>
      <c r="AY19" s="13">
        <f>IF($I12="",$F12,$I12)</f>
        <v>46266</v>
      </c>
      <c r="AZ19">
        <v>0</v>
      </c>
      <c r="BA19">
        <f>IF($K12="",0,$K12)</f>
        <v>0</v>
      </c>
    </row>
    <row r="20" spans="1:53" x14ac:dyDescent="0.35">
      <c r="A20" s="6">
        <v>15</v>
      </c>
      <c r="B20" s="6" t="s">
        <v>32</v>
      </c>
      <c r="C20" s="7">
        <v>1</v>
      </c>
      <c r="D20" s="7">
        <v>14</v>
      </c>
      <c r="E20" s="7" t="s">
        <v>19</v>
      </c>
      <c r="F20" s="8">
        <f>IF($D20="",$C$4,IF($E20="II",INDEX($F$6:$F$20,MATCH($D20,$A$6:$A$20,0)),INDEX($G$6:$G$20,MATCH($D20,$A$6:$A$20,0))))</f>
        <v>46380</v>
      </c>
      <c r="G20" s="8">
        <f t="shared" si="0"/>
        <v>46381</v>
      </c>
      <c r="H20" s="9" t="s">
        <v>16</v>
      </c>
      <c r="I20" s="10">
        <v>46454</v>
      </c>
      <c r="J20" s="10"/>
      <c r="K20" s="11" t="str">
        <f t="shared" si="1"/>
        <v/>
      </c>
      <c r="L20" s="12" t="str">
        <f t="shared" si="2"/>
        <v/>
      </c>
      <c r="AX20" t="str">
        <f>A13&amp;". "&amp;B13</f>
        <v>8. Producción de packaging</v>
      </c>
      <c r="AY20" s="13">
        <f>F13</f>
        <v>46253</v>
      </c>
      <c r="AZ20">
        <f>C13</f>
        <v>30</v>
      </c>
      <c r="BA20">
        <v>0</v>
      </c>
    </row>
    <row r="21" spans="1:53" x14ac:dyDescent="0.35">
      <c r="AX21" t="str">
        <f>"     "&amp;A13&amp;" · real"</f>
        <v xml:space="preserve">     8 · real</v>
      </c>
      <c r="AY21" s="13">
        <f>IF($I13="",$F13,$I13)</f>
        <v>46266</v>
      </c>
      <c r="AZ21">
        <v>0</v>
      </c>
      <c r="BA21">
        <f>IF($K13="",0,$K13)</f>
        <v>0</v>
      </c>
    </row>
    <row r="22" spans="1:53" x14ac:dyDescent="0.35">
      <c r="AX22" t="str">
        <f>A14&amp;". "&amp;B14</f>
        <v>9. Muestras de producción a México (fotografía)</v>
      </c>
      <c r="AY22" s="13">
        <f>F14</f>
        <v>46253</v>
      </c>
      <c r="AZ22">
        <f>C14</f>
        <v>45</v>
      </c>
      <c r="BA22">
        <v>0</v>
      </c>
    </row>
    <row r="23" spans="1:53" x14ac:dyDescent="0.35">
      <c r="AX23" t="str">
        <f>"     "&amp;A14&amp;" · real"</f>
        <v xml:space="preserve">     9 · real</v>
      </c>
      <c r="AY23" s="13">
        <f>IF($I14="",$F14,$I14)</f>
        <v>46296</v>
      </c>
      <c r="AZ23">
        <v>0</v>
      </c>
      <c r="BA23">
        <f>IF($K14="",0,$K14)</f>
        <v>0</v>
      </c>
    </row>
    <row r="24" spans="1:53" x14ac:dyDescent="0.35">
      <c r="AX24" t="str">
        <f>A15&amp;". "&amp;B15</f>
        <v>10. Gestión proveedores Cloé</v>
      </c>
      <c r="AY24" s="13">
        <f>F15</f>
        <v>46253</v>
      </c>
      <c r="AZ24">
        <f>C15</f>
        <v>60</v>
      </c>
      <c r="BA24">
        <v>0</v>
      </c>
    </row>
    <row r="25" spans="1:53" x14ac:dyDescent="0.35">
      <c r="AX25" t="str">
        <f>"     "&amp;A15&amp;" · real"</f>
        <v xml:space="preserve">     10 · real</v>
      </c>
      <c r="AY25" s="13">
        <f>IF($I15="",$F15,$I15)</f>
        <v>46266</v>
      </c>
      <c r="AZ25">
        <v>0</v>
      </c>
      <c r="BA25">
        <f>IF($K15="",0,$K15)</f>
        <v>0</v>
      </c>
    </row>
    <row r="26" spans="1:53" x14ac:dyDescent="0.35">
      <c r="AX26" t="str">
        <f>A16&amp;". "&amp;B16</f>
        <v>11. Inspección</v>
      </c>
      <c r="AY26" s="13">
        <f>F16</f>
        <v>46313</v>
      </c>
      <c r="AZ26">
        <f>C16</f>
        <v>7</v>
      </c>
      <c r="BA26">
        <v>0</v>
      </c>
    </row>
    <row r="27" spans="1:53" x14ac:dyDescent="0.35">
      <c r="AX27" t="str">
        <f>"     "&amp;A16&amp;" · real"</f>
        <v xml:space="preserve">     11 · real</v>
      </c>
      <c r="AY27" s="13">
        <f>IF($I16="",$F16,$I16)</f>
        <v>46327</v>
      </c>
      <c r="AZ27">
        <v>0</v>
      </c>
      <c r="BA27">
        <f>IF($K16="",0,$K16)</f>
        <v>0</v>
      </c>
    </row>
    <row r="28" spans="1:53" x14ac:dyDescent="0.35">
      <c r="AX28" t="str">
        <f>A17&amp;". "&amp;B17</f>
        <v>12. Orden terminada + CUT OFF + tiempos puerto</v>
      </c>
      <c r="AY28" s="13">
        <f>F17</f>
        <v>46320</v>
      </c>
      <c r="AZ28">
        <f>C17</f>
        <v>15</v>
      </c>
      <c r="BA28">
        <v>0</v>
      </c>
    </row>
    <row r="29" spans="1:53" x14ac:dyDescent="0.35">
      <c r="AX29" t="str">
        <f>"     "&amp;A17&amp;" · real"</f>
        <v xml:space="preserve">     12 · real</v>
      </c>
      <c r="AY29" s="13">
        <f>IF($I17="",$F17,$I17)</f>
        <v>46333</v>
      </c>
      <c r="AZ29">
        <v>0</v>
      </c>
      <c r="BA29">
        <f>IF($K17="",0,$K17)</f>
        <v>0</v>
      </c>
    </row>
    <row r="30" spans="1:53" x14ac:dyDescent="0.35">
      <c r="AX30" t="str">
        <f>A18&amp;". "&amp;B18</f>
        <v>13. Tránsito marítimo</v>
      </c>
      <c r="AY30" s="13">
        <f>F18</f>
        <v>46335</v>
      </c>
      <c r="AZ30">
        <f>C18</f>
        <v>35</v>
      </c>
      <c r="BA30">
        <v>0</v>
      </c>
    </row>
    <row r="31" spans="1:53" x14ac:dyDescent="0.35">
      <c r="AX31" t="str">
        <f>"     "&amp;A18&amp;" · real"</f>
        <v xml:space="preserve">     13 · real</v>
      </c>
      <c r="AY31" s="13">
        <f>IF($I18="",$F18,$I18)</f>
        <v>46348</v>
      </c>
      <c r="AZ31">
        <v>0</v>
      </c>
      <c r="BA31">
        <f>IF($K18="",0,$K18)</f>
        <v>0</v>
      </c>
    </row>
    <row r="32" spans="1:53" x14ac:dyDescent="0.35">
      <c r="AX32" t="str">
        <f>A19&amp;". "&amp;B19</f>
        <v>14. Aduana México</v>
      </c>
      <c r="AY32" s="13">
        <f>F19</f>
        <v>46370</v>
      </c>
      <c r="AZ32">
        <f>C19</f>
        <v>10</v>
      </c>
      <c r="BA32">
        <v>0</v>
      </c>
    </row>
    <row r="33" spans="50:53" x14ac:dyDescent="0.35">
      <c r="AX33" t="str">
        <f>"     "&amp;A19&amp;" · real"</f>
        <v xml:space="preserve">     14 · real</v>
      </c>
      <c r="AY33" s="13">
        <f>IF($I19="",$F19,$I19)</f>
        <v>46383</v>
      </c>
      <c r="AZ33">
        <v>0</v>
      </c>
      <c r="BA33">
        <f>IF($K19="",0,$K19)</f>
        <v>0</v>
      </c>
    </row>
    <row r="34" spans="50:53" x14ac:dyDescent="0.35">
      <c r="AX34" t="str">
        <f>A20&amp;". "&amp;B20</f>
        <v>15. Lanzamiento</v>
      </c>
      <c r="AY34" s="13">
        <f>F20</f>
        <v>46380</v>
      </c>
      <c r="AZ34">
        <f>C20</f>
        <v>1</v>
      </c>
      <c r="BA34">
        <v>0</v>
      </c>
    </row>
    <row r="35" spans="50:53" x14ac:dyDescent="0.35">
      <c r="AX35" t="str">
        <f>"     "&amp;A20&amp;" · real"</f>
        <v xml:space="preserve">     15 · real</v>
      </c>
      <c r="AY35" s="13">
        <f>IF($I20="",$F20,$I20)</f>
        <v>46454</v>
      </c>
      <c r="AZ35">
        <v>0</v>
      </c>
      <c r="BA35">
        <f>IF($K20="",0,$K20)</f>
        <v>0</v>
      </c>
    </row>
  </sheetData>
  <mergeCells count="1">
    <mergeCell ref="A3:L3"/>
  </mergeCells>
  <conditionalFormatting sqref="B7:L20 B6:H6 J6:L6">
    <cfRule type="expression" dxfId="14" priority="2">
      <formula>AND($H6&lt;&gt;"Completada",$G6&lt;&gt;"",$G6&lt;TODAY())</formula>
    </cfRule>
  </conditionalFormatting>
  <conditionalFormatting sqref="H6:H20">
    <cfRule type="expression" dxfId="13" priority="3">
      <formula>$H6="Completada"</formula>
    </cfRule>
    <cfRule type="expression" dxfId="12" priority="4">
      <formula>$H6="En curso"</formula>
    </cfRule>
    <cfRule type="expression" dxfId="11" priority="5">
      <formula>$H6="Pendiente"</formula>
    </cfRule>
  </conditionalFormatting>
  <conditionalFormatting sqref="L6:L20">
    <cfRule type="cellIs" dxfId="10" priority="11" operator="greaterThan">
      <formula>0</formula>
    </cfRule>
    <cfRule type="cellIs" dxfId="9" priority="12" operator="lessThan">
      <formula>0</formula>
    </cfRule>
  </conditionalFormatting>
  <conditionalFormatting sqref="I6">
    <cfRule type="expression" dxfId="1" priority="1">
      <formula>AND($H6&lt;&gt;"Completada",$G6&lt;&gt;"",$G6&lt;TODAY())</formula>
    </cfRule>
  </conditionalFormatting>
  <dataValidations count="1">
    <dataValidation type="list" allowBlank="1" sqref="H6:H20" xr:uid="{C2D44D65-F5B9-4ADA-BA21-884E19AA7887}">
      <formula1>"Pendiente,En curso,Completada"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5"/>
  <sheetViews>
    <sheetView showGridLines="0" tabSelected="1" zoomScale="110" zoomScaleNormal="110" workbookViewId="0">
      <selection activeCell="I6" sqref="I6"/>
    </sheetView>
  </sheetViews>
  <sheetFormatPr defaultColWidth="8.54296875" defaultRowHeight="14.5" x14ac:dyDescent="0.35"/>
  <cols>
    <col min="1" max="1" width="4.453125" customWidth="1"/>
    <col min="2" max="2" width="51.453125" bestFit="1" customWidth="1"/>
    <col min="3" max="3" width="10.7265625" customWidth="1"/>
    <col min="4" max="4" width="14.81640625" bestFit="1" customWidth="1"/>
    <col min="5" max="5" width="0" hidden="1" customWidth="1"/>
    <col min="6" max="6" width="12" hidden="1" customWidth="1"/>
    <col min="7" max="7" width="13" hidden="1" customWidth="1"/>
    <col min="8" max="12" width="13" customWidth="1"/>
    <col min="13" max="13" width="2" customWidth="1"/>
    <col min="14" max="14" width="3.453125" customWidth="1"/>
    <col min="45" max="45" width="10.81640625" customWidth="1"/>
  </cols>
  <sheetData>
    <row r="1" spans="1:53" ht="18" customHeight="1" x14ac:dyDescent="0.45">
      <c r="A1" s="1" t="s">
        <v>34</v>
      </c>
    </row>
    <row r="3" spans="1:53" x14ac:dyDescent="0.35">
      <c r="A3" s="14" t="s">
        <v>38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53" x14ac:dyDescent="0.35">
      <c r="B4" s="2" t="s">
        <v>39</v>
      </c>
      <c r="C4" s="3">
        <v>46190</v>
      </c>
      <c r="I4" s="2" t="s">
        <v>0</v>
      </c>
      <c r="J4" s="3">
        <f ca="1">TODAY()</f>
        <v>46204</v>
      </c>
    </row>
    <row r="5" spans="1:53" x14ac:dyDescent="0.35">
      <c r="A5" s="4" t="s">
        <v>1</v>
      </c>
      <c r="B5" s="5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AX5" t="s">
        <v>2</v>
      </c>
      <c r="AY5" t="s">
        <v>6</v>
      </c>
      <c r="AZ5" t="s">
        <v>13</v>
      </c>
      <c r="BA5" t="s">
        <v>14</v>
      </c>
    </row>
    <row r="6" spans="1:53" x14ac:dyDescent="0.35">
      <c r="A6" s="6">
        <v>1</v>
      </c>
      <c r="B6" s="6" t="s">
        <v>15</v>
      </c>
      <c r="C6" s="7">
        <v>30</v>
      </c>
      <c r="D6" s="7"/>
      <c r="E6" s="7"/>
      <c r="F6" s="8">
        <f>$C$4</f>
        <v>46190</v>
      </c>
      <c r="G6" s="8">
        <f t="shared" ref="G6:G20" si="0">F6+C6</f>
        <v>46220</v>
      </c>
      <c r="H6" s="9" t="s">
        <v>33</v>
      </c>
      <c r="I6" s="10">
        <v>46196</v>
      </c>
      <c r="J6" s="10"/>
      <c r="K6" s="11" t="str">
        <f t="shared" ref="K6:K20" si="1">IF(OR($I6="",$J6=""),"",$J6-$I6)</f>
        <v/>
      </c>
      <c r="L6" s="12" t="str">
        <f t="shared" ref="L6:L20" si="2">IF($J6="","",$J6-$G6)</f>
        <v/>
      </c>
      <c r="AX6" t="str">
        <f>A6&amp;". "&amp;B6</f>
        <v>1. Muestras finalizadas en China</v>
      </c>
      <c r="AY6" s="13">
        <f>F6</f>
        <v>46190</v>
      </c>
      <c r="AZ6">
        <f>C6</f>
        <v>30</v>
      </c>
      <c r="BA6">
        <v>0</v>
      </c>
    </row>
    <row r="7" spans="1:53" x14ac:dyDescent="0.35">
      <c r="A7" s="6">
        <v>2</v>
      </c>
      <c r="B7" s="6" t="s">
        <v>17</v>
      </c>
      <c r="C7" s="7">
        <v>10</v>
      </c>
      <c r="D7" s="7">
        <v>1</v>
      </c>
      <c r="E7" s="7"/>
      <c r="F7" s="8">
        <f t="shared" ref="F7:F15" si="3">IF($D7="",$C$4,IF($E7="II",INDEX($F$6:$F$20,MATCH($D7,$A$6:$A$20,0)),INDEX($G$6:$G$20,MATCH($D7,$A$6:$A$20,0))))</f>
        <v>46220</v>
      </c>
      <c r="G7" s="8">
        <f t="shared" si="0"/>
        <v>46230</v>
      </c>
      <c r="H7" s="9" t="s">
        <v>16</v>
      </c>
      <c r="I7" s="10">
        <v>46223</v>
      </c>
      <c r="J7" s="10"/>
      <c r="K7" s="11" t="str">
        <f t="shared" si="1"/>
        <v/>
      </c>
      <c r="L7" s="12" t="str">
        <f t="shared" si="2"/>
        <v/>
      </c>
      <c r="AX7" t="str">
        <f>"     "&amp;A6&amp;" · real"</f>
        <v xml:space="preserve">     1 · real</v>
      </c>
      <c r="AY7" s="13">
        <f>IF($I6="",$F6,$I6)</f>
        <v>46196</v>
      </c>
      <c r="AZ7">
        <v>0</v>
      </c>
      <c r="BA7">
        <f>IF($K6="",0,$K6)</f>
        <v>0</v>
      </c>
    </row>
    <row r="8" spans="1:53" x14ac:dyDescent="0.35">
      <c r="A8" s="6">
        <v>3</v>
      </c>
      <c r="B8" s="6" t="s">
        <v>18</v>
      </c>
      <c r="C8" s="7">
        <v>5</v>
      </c>
      <c r="D8" s="7">
        <v>2</v>
      </c>
      <c r="E8" s="7" t="s">
        <v>19</v>
      </c>
      <c r="F8" s="8">
        <f t="shared" si="3"/>
        <v>46230</v>
      </c>
      <c r="G8" s="8">
        <f t="shared" si="0"/>
        <v>46235</v>
      </c>
      <c r="H8" s="9" t="s">
        <v>16</v>
      </c>
      <c r="I8" s="10">
        <v>46249</v>
      </c>
      <c r="J8" s="10"/>
      <c r="K8" s="11" t="str">
        <f t="shared" si="1"/>
        <v/>
      </c>
      <c r="L8" s="12" t="str">
        <f t="shared" si="2"/>
        <v/>
      </c>
      <c r="AX8" t="str">
        <f>A7&amp;". "&amp;B7</f>
        <v>2. Courier a Mexico</v>
      </c>
      <c r="AY8" s="13">
        <f>F7</f>
        <v>46220</v>
      </c>
      <c r="AZ8">
        <f>C7</f>
        <v>10</v>
      </c>
      <c r="BA8">
        <v>0</v>
      </c>
    </row>
    <row r="9" spans="1:53" x14ac:dyDescent="0.35">
      <c r="A9" s="6">
        <v>4</v>
      </c>
      <c r="B9" s="6" t="s">
        <v>20</v>
      </c>
      <c r="C9" s="7">
        <v>12</v>
      </c>
      <c r="D9" s="7">
        <v>2</v>
      </c>
      <c r="E9" s="7" t="s">
        <v>19</v>
      </c>
      <c r="F9" s="8">
        <f t="shared" si="3"/>
        <v>46230</v>
      </c>
      <c r="G9" s="8">
        <f t="shared" si="0"/>
        <v>46242</v>
      </c>
      <c r="H9" s="9" t="s">
        <v>16</v>
      </c>
      <c r="I9" s="10">
        <v>46233</v>
      </c>
      <c r="J9" s="10"/>
      <c r="K9" s="11" t="str">
        <f t="shared" si="1"/>
        <v/>
      </c>
      <c r="L9" s="12" t="str">
        <f t="shared" si="2"/>
        <v/>
      </c>
      <c r="AX9" t="str">
        <f>"     "&amp;A7&amp;" · real"</f>
        <v xml:space="preserve">     2 · real</v>
      </c>
      <c r="AY9" s="13">
        <f>IF($I7="",$F7,$I7)</f>
        <v>46223</v>
      </c>
      <c r="AZ9">
        <v>0</v>
      </c>
      <c r="BA9">
        <f>IF($K7="",0,$K7)</f>
        <v>0</v>
      </c>
    </row>
    <row r="10" spans="1:53" x14ac:dyDescent="0.35">
      <c r="A10" s="6">
        <v>5</v>
      </c>
      <c r="B10" s="6" t="s">
        <v>21</v>
      </c>
      <c r="C10" s="7">
        <v>4</v>
      </c>
      <c r="D10" s="7">
        <v>4</v>
      </c>
      <c r="E10" s="7" t="s">
        <v>19</v>
      </c>
      <c r="F10" s="8">
        <f t="shared" si="3"/>
        <v>46242</v>
      </c>
      <c r="G10" s="8">
        <f t="shared" si="0"/>
        <v>46246</v>
      </c>
      <c r="H10" s="9" t="s">
        <v>16</v>
      </c>
      <c r="I10" s="10">
        <v>46254</v>
      </c>
      <c r="J10" s="10"/>
      <c r="K10" s="11" t="str">
        <f t="shared" si="1"/>
        <v/>
      </c>
      <c r="L10" s="12" t="str">
        <f t="shared" si="2"/>
        <v/>
      </c>
      <c r="AX10" t="str">
        <f>A8&amp;". "&amp;B8</f>
        <v>3. DEADLINE aprobación Cloé (confirmación muestra final)</v>
      </c>
      <c r="AY10" s="13">
        <f>F8</f>
        <v>46230</v>
      </c>
      <c r="AZ10">
        <f>C8</f>
        <v>5</v>
      </c>
      <c r="BA10">
        <v>0</v>
      </c>
    </row>
    <row r="11" spans="1:53" x14ac:dyDescent="0.35">
      <c r="A11" s="6">
        <v>6</v>
      </c>
      <c r="B11" s="6" t="s">
        <v>22</v>
      </c>
      <c r="C11" s="7">
        <v>7</v>
      </c>
      <c r="D11" s="7">
        <v>5</v>
      </c>
      <c r="E11" s="7" t="s">
        <v>19</v>
      </c>
      <c r="F11" s="8">
        <f t="shared" si="3"/>
        <v>46246</v>
      </c>
      <c r="G11" s="8">
        <f t="shared" si="0"/>
        <v>46253</v>
      </c>
      <c r="H11" s="9" t="s">
        <v>16</v>
      </c>
      <c r="I11" s="10">
        <v>46261</v>
      </c>
      <c r="J11" s="10"/>
      <c r="K11" s="11" t="str">
        <f t="shared" si="1"/>
        <v/>
      </c>
      <c r="L11" s="12" t="str">
        <f t="shared" si="2"/>
        <v/>
      </c>
      <c r="AX11" t="str">
        <f>"     "&amp;A8&amp;" · real"</f>
        <v xml:space="preserve">     3 · real</v>
      </c>
      <c r="AY11" s="13">
        <f>IF($I8="",$F8,$I8)</f>
        <v>46249</v>
      </c>
      <c r="AZ11">
        <v>0</v>
      </c>
      <c r="BA11">
        <f>IF($K8="",0,$K8)</f>
        <v>0</v>
      </c>
    </row>
    <row r="12" spans="1:53" x14ac:dyDescent="0.35">
      <c r="A12" s="6">
        <v>7</v>
      </c>
      <c r="B12" s="6" t="s">
        <v>23</v>
      </c>
      <c r="C12" s="7">
        <v>60</v>
      </c>
      <c r="D12" s="7">
        <v>6</v>
      </c>
      <c r="E12" s="7" t="s">
        <v>19</v>
      </c>
      <c r="F12" s="8">
        <f t="shared" si="3"/>
        <v>46253</v>
      </c>
      <c r="G12" s="8">
        <f t="shared" si="0"/>
        <v>46313</v>
      </c>
      <c r="H12" s="9" t="s">
        <v>16</v>
      </c>
      <c r="I12" s="10">
        <v>46266</v>
      </c>
      <c r="J12" s="10"/>
      <c r="K12" s="11" t="str">
        <f t="shared" si="1"/>
        <v/>
      </c>
      <c r="L12" s="12" t="str">
        <f t="shared" si="2"/>
        <v/>
      </c>
      <c r="AX12" t="str">
        <f>A9&amp;". "&amp;B9</f>
        <v>4. Reunión con Comité y entrega de muestras</v>
      </c>
      <c r="AY12" s="13">
        <f>F9</f>
        <v>46230</v>
      </c>
      <c r="AZ12">
        <f>C9</f>
        <v>12</v>
      </c>
      <c r="BA12">
        <v>0</v>
      </c>
    </row>
    <row r="13" spans="1:53" x14ac:dyDescent="0.35">
      <c r="A13" s="6">
        <v>8</v>
      </c>
      <c r="B13" s="6" t="s">
        <v>24</v>
      </c>
      <c r="C13" s="7">
        <v>30</v>
      </c>
      <c r="D13" s="7">
        <v>6</v>
      </c>
      <c r="E13" s="7" t="s">
        <v>19</v>
      </c>
      <c r="F13" s="8">
        <f t="shared" si="3"/>
        <v>46253</v>
      </c>
      <c r="G13" s="8">
        <f t="shared" si="0"/>
        <v>46283</v>
      </c>
      <c r="H13" s="9" t="s">
        <v>16</v>
      </c>
      <c r="I13" s="10">
        <v>46266</v>
      </c>
      <c r="J13" s="10"/>
      <c r="K13" s="11" t="str">
        <f t="shared" si="1"/>
        <v/>
      </c>
      <c r="L13" s="12" t="str">
        <f t="shared" si="2"/>
        <v/>
      </c>
      <c r="AX13" t="str">
        <f>"     "&amp;A9&amp;" · real"</f>
        <v xml:space="preserve">     4 · real</v>
      </c>
      <c r="AY13" s="13">
        <f>IF($I9="",$F9,$I9)</f>
        <v>46233</v>
      </c>
      <c r="AZ13">
        <v>0</v>
      </c>
      <c r="BA13">
        <f>IF($K9="",0,$K9)</f>
        <v>0</v>
      </c>
    </row>
    <row r="14" spans="1:53" x14ac:dyDescent="0.35">
      <c r="A14" s="6">
        <v>9</v>
      </c>
      <c r="B14" s="6" t="s">
        <v>25</v>
      </c>
      <c r="C14" s="7">
        <v>45</v>
      </c>
      <c r="D14" s="7">
        <v>7</v>
      </c>
      <c r="E14" s="7" t="s">
        <v>26</v>
      </c>
      <c r="F14" s="8">
        <f t="shared" si="3"/>
        <v>46253</v>
      </c>
      <c r="G14" s="8">
        <f t="shared" si="0"/>
        <v>46298</v>
      </c>
      <c r="H14" s="9" t="s">
        <v>16</v>
      </c>
      <c r="I14" s="10">
        <v>46296</v>
      </c>
      <c r="J14" s="10"/>
      <c r="K14" s="11" t="str">
        <f t="shared" si="1"/>
        <v/>
      </c>
      <c r="L14" s="12" t="str">
        <f t="shared" si="2"/>
        <v/>
      </c>
      <c r="AX14" t="str">
        <f>A10&amp;". "&amp;B10</f>
        <v>5. Confirmación de muestras y packaging</v>
      </c>
      <c r="AY14" s="13">
        <f>F10</f>
        <v>46242</v>
      </c>
      <c r="AZ14">
        <f>C10</f>
        <v>4</v>
      </c>
      <c r="BA14">
        <v>0</v>
      </c>
    </row>
    <row r="15" spans="1:53" x14ac:dyDescent="0.35">
      <c r="A15" s="6">
        <v>10</v>
      </c>
      <c r="B15" s="6" t="s">
        <v>27</v>
      </c>
      <c r="C15" s="7">
        <v>60</v>
      </c>
      <c r="D15" s="7">
        <v>7</v>
      </c>
      <c r="E15" s="7" t="s">
        <v>26</v>
      </c>
      <c r="F15" s="8">
        <f t="shared" si="3"/>
        <v>46253</v>
      </c>
      <c r="G15" s="8">
        <f t="shared" si="0"/>
        <v>46313</v>
      </c>
      <c r="H15" s="9" t="s">
        <v>16</v>
      </c>
      <c r="I15" s="10">
        <v>46266</v>
      </c>
      <c r="J15" s="10"/>
      <c r="K15" s="11" t="str">
        <f t="shared" si="1"/>
        <v/>
      </c>
      <c r="L15" s="12" t="str">
        <f t="shared" si="2"/>
        <v/>
      </c>
      <c r="AX15" t="str">
        <f>"     "&amp;A10&amp;" · real"</f>
        <v xml:space="preserve">     5 · real</v>
      </c>
      <c r="AY15" s="13">
        <f>IF($I10="",$F10,$I10)</f>
        <v>46254</v>
      </c>
      <c r="AZ15">
        <v>0</v>
      </c>
      <c r="BA15">
        <f>IF($K10="",0,$K10)</f>
        <v>0</v>
      </c>
    </row>
    <row r="16" spans="1:53" x14ac:dyDescent="0.35">
      <c r="A16" s="6">
        <v>11</v>
      </c>
      <c r="B16" s="6" t="s">
        <v>28</v>
      </c>
      <c r="C16" s="7">
        <v>7</v>
      </c>
      <c r="D16" s="7"/>
      <c r="E16" s="7"/>
      <c r="F16" s="8">
        <f>MAX($G$12,$G$13)</f>
        <v>46313</v>
      </c>
      <c r="G16" s="8">
        <f t="shared" si="0"/>
        <v>46320</v>
      </c>
      <c r="H16" s="9" t="s">
        <v>16</v>
      </c>
      <c r="I16" s="10">
        <v>46327</v>
      </c>
      <c r="J16" s="10"/>
      <c r="K16" s="11" t="str">
        <f t="shared" si="1"/>
        <v/>
      </c>
      <c r="L16" s="12" t="str">
        <f t="shared" si="2"/>
        <v/>
      </c>
      <c r="AX16" t="str">
        <f>A11&amp;". "&amp;B11</f>
        <v>6. Master Cloé (modelo &amp; upc)</v>
      </c>
      <c r="AY16" s="13">
        <f>F11</f>
        <v>46246</v>
      </c>
      <c r="AZ16">
        <f>C11</f>
        <v>7</v>
      </c>
      <c r="BA16">
        <v>0</v>
      </c>
    </row>
    <row r="17" spans="1:53" x14ac:dyDescent="0.35">
      <c r="A17" s="6">
        <v>12</v>
      </c>
      <c r="B17" s="6" t="s">
        <v>29</v>
      </c>
      <c r="C17" s="7">
        <v>15</v>
      </c>
      <c r="D17" s="7">
        <v>11</v>
      </c>
      <c r="E17" s="7" t="s">
        <v>19</v>
      </c>
      <c r="F17" s="8">
        <f>IF($D17="",$C$4,IF($E17="II",INDEX($F$6:$F$20,MATCH($D17,$A$6:$A$20,0)),INDEX($G$6:$G$20,MATCH($D17,$A$6:$A$20,0))))</f>
        <v>46320</v>
      </c>
      <c r="G17" s="8">
        <f t="shared" si="0"/>
        <v>46335</v>
      </c>
      <c r="H17" s="9" t="s">
        <v>16</v>
      </c>
      <c r="I17" s="10">
        <v>46333</v>
      </c>
      <c r="J17" s="10"/>
      <c r="K17" s="11" t="str">
        <f t="shared" si="1"/>
        <v/>
      </c>
      <c r="L17" s="12" t="str">
        <f t="shared" si="2"/>
        <v/>
      </c>
      <c r="AX17" t="str">
        <f>"     "&amp;A11&amp;" · real"</f>
        <v xml:space="preserve">     6 · real</v>
      </c>
      <c r="AY17" s="13">
        <f>IF($I11="",$F11,$I11)</f>
        <v>46261</v>
      </c>
      <c r="AZ17">
        <v>0</v>
      </c>
      <c r="BA17">
        <f>IF($K11="",0,$K11)</f>
        <v>0</v>
      </c>
    </row>
    <row r="18" spans="1:53" x14ac:dyDescent="0.35">
      <c r="A18" s="6">
        <v>13</v>
      </c>
      <c r="B18" s="6" t="s">
        <v>30</v>
      </c>
      <c r="C18" s="7">
        <v>35</v>
      </c>
      <c r="D18" s="7">
        <v>12</v>
      </c>
      <c r="E18" s="7" t="s">
        <v>19</v>
      </c>
      <c r="F18" s="8">
        <f>IF($D18="",$C$4,IF($E18="II",INDEX($F$6:$F$20,MATCH($D18,$A$6:$A$20,0)),INDEX($G$6:$G$20,MATCH($D18,$A$6:$A$20,0))))</f>
        <v>46335</v>
      </c>
      <c r="G18" s="8">
        <f t="shared" si="0"/>
        <v>46370</v>
      </c>
      <c r="H18" s="9" t="s">
        <v>16</v>
      </c>
      <c r="I18" s="10">
        <v>46348</v>
      </c>
      <c r="J18" s="10"/>
      <c r="K18" s="11" t="str">
        <f t="shared" si="1"/>
        <v/>
      </c>
      <c r="L18" s="12" t="str">
        <f t="shared" si="2"/>
        <v/>
      </c>
      <c r="AX18" t="str">
        <f>A12&amp;". "&amp;B12</f>
        <v>7. Producción de producto</v>
      </c>
      <c r="AY18" s="13">
        <f>F12</f>
        <v>46253</v>
      </c>
      <c r="AZ18">
        <f>C12</f>
        <v>60</v>
      </c>
      <c r="BA18">
        <v>0</v>
      </c>
    </row>
    <row r="19" spans="1:53" x14ac:dyDescent="0.35">
      <c r="A19" s="6">
        <v>14</v>
      </c>
      <c r="B19" s="6" t="s">
        <v>31</v>
      </c>
      <c r="C19" s="7">
        <v>10</v>
      </c>
      <c r="D19" s="7">
        <v>13</v>
      </c>
      <c r="E19" s="7" t="s">
        <v>19</v>
      </c>
      <c r="F19" s="8">
        <f>IF($D19="",$C$4,IF($E19="II",INDEX($F$6:$F$20,MATCH($D19,$A$6:$A$20,0)),INDEX($G$6:$G$20,MATCH($D19,$A$6:$A$20,0))))</f>
        <v>46370</v>
      </c>
      <c r="G19" s="8">
        <f t="shared" si="0"/>
        <v>46380</v>
      </c>
      <c r="H19" s="9" t="s">
        <v>16</v>
      </c>
      <c r="I19" s="10">
        <v>46383</v>
      </c>
      <c r="J19" s="10"/>
      <c r="K19" s="11" t="str">
        <f t="shared" si="1"/>
        <v/>
      </c>
      <c r="L19" s="12" t="str">
        <f t="shared" si="2"/>
        <v/>
      </c>
      <c r="AX19" t="str">
        <f>"     "&amp;A12&amp;" · real"</f>
        <v xml:space="preserve">     7 · real</v>
      </c>
      <c r="AY19" s="13">
        <f>IF($I12="",$F12,$I12)</f>
        <v>46266</v>
      </c>
      <c r="AZ19">
        <v>0</v>
      </c>
      <c r="BA19">
        <f>IF($K12="",0,$K12)</f>
        <v>0</v>
      </c>
    </row>
    <row r="20" spans="1:53" x14ac:dyDescent="0.35">
      <c r="A20" s="6">
        <v>15</v>
      </c>
      <c r="B20" s="6" t="s">
        <v>32</v>
      </c>
      <c r="C20" s="7">
        <v>1</v>
      </c>
      <c r="D20" s="7">
        <v>14</v>
      </c>
      <c r="E20" s="7" t="s">
        <v>19</v>
      </c>
      <c r="F20" s="8">
        <f>IF($D20="",$C$4,IF($E20="II",INDEX($F$6:$F$20,MATCH($D20,$A$6:$A$20,0)),INDEX($G$6:$G$20,MATCH($D20,$A$6:$A$20,0))))</f>
        <v>46380</v>
      </c>
      <c r="G20" s="8">
        <f t="shared" si="0"/>
        <v>46381</v>
      </c>
      <c r="H20" s="9" t="s">
        <v>16</v>
      </c>
      <c r="I20" s="10">
        <v>46454</v>
      </c>
      <c r="J20" s="10"/>
      <c r="K20" s="11" t="str">
        <f t="shared" si="1"/>
        <v/>
      </c>
      <c r="L20" s="12" t="str">
        <f t="shared" si="2"/>
        <v/>
      </c>
      <c r="AX20" t="str">
        <f>A13&amp;". "&amp;B13</f>
        <v>8. Producción de packaging</v>
      </c>
      <c r="AY20" s="13">
        <f>F13</f>
        <v>46253</v>
      </c>
      <c r="AZ20">
        <f>C13</f>
        <v>30</v>
      </c>
      <c r="BA20">
        <v>0</v>
      </c>
    </row>
    <row r="21" spans="1:53" x14ac:dyDescent="0.35">
      <c r="AX21" t="str">
        <f>"     "&amp;A13&amp;" · real"</f>
        <v xml:space="preserve">     8 · real</v>
      </c>
      <c r="AY21" s="13">
        <f>IF($I13="",$F13,$I13)</f>
        <v>46266</v>
      </c>
      <c r="AZ21">
        <v>0</v>
      </c>
      <c r="BA21">
        <f>IF($K13="",0,$K13)</f>
        <v>0</v>
      </c>
    </row>
    <row r="22" spans="1:53" x14ac:dyDescent="0.35">
      <c r="AX22" t="str">
        <f>A14&amp;". "&amp;B14</f>
        <v>9. Muestras de producción a México (fotografía)</v>
      </c>
      <c r="AY22" s="13">
        <f>F14</f>
        <v>46253</v>
      </c>
      <c r="AZ22">
        <f>C14</f>
        <v>45</v>
      </c>
      <c r="BA22">
        <v>0</v>
      </c>
    </row>
    <row r="23" spans="1:53" x14ac:dyDescent="0.35">
      <c r="AX23" t="str">
        <f>"     "&amp;A14&amp;" · real"</f>
        <v xml:space="preserve">     9 · real</v>
      </c>
      <c r="AY23" s="13">
        <f>IF($I14="",$F14,$I14)</f>
        <v>46296</v>
      </c>
      <c r="AZ23">
        <v>0</v>
      </c>
      <c r="BA23">
        <f>IF($K14="",0,$K14)</f>
        <v>0</v>
      </c>
    </row>
    <row r="24" spans="1:53" x14ac:dyDescent="0.35">
      <c r="AX24" t="str">
        <f>A15&amp;". "&amp;B15</f>
        <v>10. Gestión proveedores Cloé</v>
      </c>
      <c r="AY24" s="13">
        <f>F15</f>
        <v>46253</v>
      </c>
      <c r="AZ24">
        <f>C15</f>
        <v>60</v>
      </c>
      <c r="BA24">
        <v>0</v>
      </c>
    </row>
    <row r="25" spans="1:53" x14ac:dyDescent="0.35">
      <c r="AX25" t="str">
        <f>"     "&amp;A15&amp;" · real"</f>
        <v xml:space="preserve">     10 · real</v>
      </c>
      <c r="AY25" s="13">
        <f>IF($I15="",$F15,$I15)</f>
        <v>46266</v>
      </c>
      <c r="AZ25">
        <v>0</v>
      </c>
      <c r="BA25">
        <f>IF($K15="",0,$K15)</f>
        <v>0</v>
      </c>
    </row>
    <row r="26" spans="1:53" x14ac:dyDescent="0.35">
      <c r="AX26" t="str">
        <f>A16&amp;". "&amp;B16</f>
        <v>11. Inspección</v>
      </c>
      <c r="AY26" s="13">
        <f>F16</f>
        <v>46313</v>
      </c>
      <c r="AZ26">
        <f>C16</f>
        <v>7</v>
      </c>
      <c r="BA26">
        <v>0</v>
      </c>
    </row>
    <row r="27" spans="1:53" x14ac:dyDescent="0.35">
      <c r="AX27" t="str">
        <f>"     "&amp;A16&amp;" · real"</f>
        <v xml:space="preserve">     11 · real</v>
      </c>
      <c r="AY27" s="13">
        <f>IF($I16="",$F16,$I16)</f>
        <v>46327</v>
      </c>
      <c r="AZ27">
        <v>0</v>
      </c>
      <c r="BA27">
        <f>IF($K16="",0,$K16)</f>
        <v>0</v>
      </c>
    </row>
    <row r="28" spans="1:53" x14ac:dyDescent="0.35">
      <c r="AX28" t="str">
        <f>A17&amp;". "&amp;B17</f>
        <v>12. Orden terminada + CUT OFF + tiempos puerto</v>
      </c>
      <c r="AY28" s="13">
        <f>F17</f>
        <v>46320</v>
      </c>
      <c r="AZ28">
        <f>C17</f>
        <v>15</v>
      </c>
      <c r="BA28">
        <v>0</v>
      </c>
    </row>
    <row r="29" spans="1:53" x14ac:dyDescent="0.35">
      <c r="AX29" t="str">
        <f>"     "&amp;A17&amp;" · real"</f>
        <v xml:space="preserve">     12 · real</v>
      </c>
      <c r="AY29" s="13">
        <f>IF($I17="",$F17,$I17)</f>
        <v>46333</v>
      </c>
      <c r="AZ29">
        <v>0</v>
      </c>
      <c r="BA29">
        <f>IF($K17="",0,$K17)</f>
        <v>0</v>
      </c>
    </row>
    <row r="30" spans="1:53" x14ac:dyDescent="0.35">
      <c r="AX30" t="str">
        <f>A18&amp;". "&amp;B18</f>
        <v>13. Tránsito marítimo</v>
      </c>
      <c r="AY30" s="13">
        <f>F18</f>
        <v>46335</v>
      </c>
      <c r="AZ30">
        <f>C18</f>
        <v>35</v>
      </c>
      <c r="BA30">
        <v>0</v>
      </c>
    </row>
    <row r="31" spans="1:53" x14ac:dyDescent="0.35">
      <c r="AX31" t="str">
        <f>"     "&amp;A18&amp;" · real"</f>
        <v xml:space="preserve">     13 · real</v>
      </c>
      <c r="AY31" s="13">
        <f>IF($I18="",$F18,$I18)</f>
        <v>46348</v>
      </c>
      <c r="AZ31">
        <v>0</v>
      </c>
      <c r="BA31">
        <f>IF($K18="",0,$K18)</f>
        <v>0</v>
      </c>
    </row>
    <row r="32" spans="1:53" x14ac:dyDescent="0.35">
      <c r="AX32" t="str">
        <f>A19&amp;". "&amp;B19</f>
        <v>14. Aduana México</v>
      </c>
      <c r="AY32" s="13">
        <f>F19</f>
        <v>46370</v>
      </c>
      <c r="AZ32">
        <f>C19</f>
        <v>10</v>
      </c>
      <c r="BA32">
        <v>0</v>
      </c>
    </row>
    <row r="33" spans="50:53" x14ac:dyDescent="0.35">
      <c r="AX33" t="str">
        <f>"     "&amp;A19&amp;" · real"</f>
        <v xml:space="preserve">     14 · real</v>
      </c>
      <c r="AY33" s="13">
        <f>IF($I19="",$F19,$I19)</f>
        <v>46383</v>
      </c>
      <c r="AZ33">
        <v>0</v>
      </c>
      <c r="BA33">
        <f>IF($K19="",0,$K19)</f>
        <v>0</v>
      </c>
    </row>
    <row r="34" spans="50:53" x14ac:dyDescent="0.35">
      <c r="AX34" t="str">
        <f>A20&amp;". "&amp;B20</f>
        <v>15. Lanzamiento</v>
      </c>
      <c r="AY34" s="13">
        <f>F20</f>
        <v>46380</v>
      </c>
      <c r="AZ34">
        <f>C20</f>
        <v>1</v>
      </c>
      <c r="BA34">
        <v>0</v>
      </c>
    </row>
    <row r="35" spans="50:53" x14ac:dyDescent="0.35">
      <c r="AX35" t="str">
        <f>"     "&amp;A20&amp;" · real"</f>
        <v xml:space="preserve">     15 · real</v>
      </c>
      <c r="AY35" s="13">
        <f>IF($I20="",$F20,$I20)</f>
        <v>46454</v>
      </c>
      <c r="AZ35">
        <v>0</v>
      </c>
      <c r="BA35">
        <f>IF($K20="",0,$K20)</f>
        <v>0</v>
      </c>
    </row>
  </sheetData>
  <mergeCells count="1">
    <mergeCell ref="A3:L3"/>
  </mergeCells>
  <conditionalFormatting sqref="B7:L20 B6:H6 J6:L6">
    <cfRule type="expression" dxfId="8" priority="2">
      <formula>AND($H6&lt;&gt;"Completada",$G6&lt;&gt;"",$G6&lt;TODAY())</formula>
    </cfRule>
  </conditionalFormatting>
  <conditionalFormatting sqref="H6:H20">
    <cfRule type="expression" dxfId="7" priority="5">
      <formula>$H6="Completada"</formula>
    </cfRule>
    <cfRule type="expression" dxfId="6" priority="6">
      <formula>$H6="En curso"</formula>
    </cfRule>
    <cfRule type="expression" dxfId="5" priority="7">
      <formula>$H6="Pendiente"</formula>
    </cfRule>
  </conditionalFormatting>
  <conditionalFormatting sqref="L6:L20">
    <cfRule type="cellIs" dxfId="4" priority="8" operator="greaterThan">
      <formula>0</formula>
    </cfRule>
    <cfRule type="cellIs" dxfId="3" priority="9" operator="lessThan">
      <formula>0</formula>
    </cfRule>
  </conditionalFormatting>
  <conditionalFormatting sqref="I6">
    <cfRule type="expression" dxfId="0" priority="1">
      <formula>AND($H6&lt;&gt;"Completada",$G6&lt;&gt;"",$G6&lt;TODAY())</formula>
    </cfRule>
  </conditionalFormatting>
  <dataValidations count="1">
    <dataValidation type="list" allowBlank="1" sqref="H6:H20" xr:uid="{00000000-0002-0000-0000-000000000000}">
      <formula1>"Pendiente,En curso,Completada"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TOTE BAG FOLDABLES</vt:lpstr>
      <vt:lpstr>PORTA PASAPORTES</vt:lpstr>
      <vt:lpstr>NECK PILLOW</vt:lpstr>
      <vt:lpstr>ID 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Martina</cp:lastModifiedBy>
  <cp:revision>1</cp:revision>
  <dcterms:created xsi:type="dcterms:W3CDTF">2026-06-18T12:50:07Z</dcterms:created>
  <dcterms:modified xsi:type="dcterms:W3CDTF">2026-07-01T08:10:02Z</dcterms:modified>
  <dc:language>en-US</dc:language>
</cp:coreProperties>
</file>